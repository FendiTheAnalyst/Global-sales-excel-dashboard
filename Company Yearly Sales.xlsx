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User\OneDrive\Documents\"/>
    </mc:Choice>
  </mc:AlternateContent>
  <bookViews>
    <workbookView xWindow="0" yWindow="0" windowWidth="20490" windowHeight="6795"/>
  </bookViews>
  <sheets>
    <sheet name="Data" sheetId="1" r:id="rId1"/>
    <sheet name="Report" sheetId="4" r:id="rId2"/>
    <sheet name="Dashboard" sheetId="13" r:id="rId3"/>
  </sheets>
  <definedNames>
    <definedName name="Slicer_Order_Date">#N/A</definedName>
    <definedName name="Slicer_Order_Priority">#N/A</definedName>
    <definedName name="Slicer_Region">#N/A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I4" i="4"/>
  <c r="I10" i="4"/>
  <c r="I7" i="4"/>
  <c r="M20" i="4"/>
  <c r="I13" i="4"/>
  <c r="G39" i="4"/>
</calcChain>
</file>

<file path=xl/sharedStrings.xml><?xml version="1.0" encoding="utf-8"?>
<sst xmlns="http://schemas.openxmlformats.org/spreadsheetml/2006/main" count="599" uniqueCount="128">
  <si>
    <t>Region</t>
  </si>
  <si>
    <t>Country</t>
  </si>
  <si>
    <t>Item Type</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</si>
  <si>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</si>
  <si>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</si>
  <si>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</si>
  <si>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</si>
  <si>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</si>
  <si>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</si>
  <si>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</si>
  <si>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</si>
  <si>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</si>
  <si>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</si>
  <si>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</si>
  <si>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</si>
  <si>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</si>
  <si>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</si>
  <si>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</si>
  <si>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</si>
  <si>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</si>
  <si>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</si>
  <si>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</si>
  <si>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</si>
  <si>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</si>
  <si>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</si>
  <si>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</si>
  <si>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</si>
  <si>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</si>
  <si>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</si>
  <si>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</si>
  <si>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</si>
  <si>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</si>
  <si>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</si>
  <si>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</si>
  <si>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</si>
  <si>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</si>
  <si>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</si>
  <si>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</si>
  <si>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</si>
  <si>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</si>
  <si>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</si>
  <si>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</si>
  <si>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</si>
  <si>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</si>
  <si>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</si>
  <si>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</si>
  <si>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</si>
  <si>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</si>
  <si>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</si>
  <si>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</si>
  <si>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</si>
  <si>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</si>
  <si>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</si>
  <si>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</si>
  <si>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</si>
  <si>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</si>
  <si>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</si>
  <si>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</si>
  <si>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</si>
  <si>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</si>
  <si>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</si>
  <si>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</si>
  <si>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</si>
  <si>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</si>
  <si>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</si>
  <si>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</si>
  <si>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</si>
  <si>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</si>
  <si>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</si>
  <si>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</si>
  <si>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</si>
  <si>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</si>
  <si>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</si>
  <si>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</si>
  <si>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</si>
  <si>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</si>
  <si>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</si>
  <si>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</si>
  <si>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</si>
  <si>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</si>
  <si>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</si>
  <si>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</si>
  <si>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</si>
  <si>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</si>
  <si>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</si>
  <si>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</si>
  <si>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</si>
  <si>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</si>
  <si>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</si>
  <si>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</si>
  <si>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</si>
  <si>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</si>
  <si>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</si>
  <si>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</si>
  <si>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</si>
  <si>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</si>
  <si>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</si>
  <si>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</si>
  <si>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</si>
  <si>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</si>
  <si>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</si>
  <si>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</si>
  <si>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</si>
  <si>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</si>
  <si>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</si>
  <si>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</si>
  <si>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</si>
  <si>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</si>
  <si>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</si>
  <si>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</si>
  <si>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</si>
  <si>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</si>
  <si>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</si>
  <si>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</si>
  <si>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</si>
  <si>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Sum of Total Profit</t>
  </si>
  <si>
    <t>Sum of Total Revenue</t>
  </si>
  <si>
    <t>Sum of Units Sold</t>
  </si>
  <si>
    <t>Average of Unit Price</t>
  </si>
  <si>
    <t>Grand Total</t>
  </si>
  <si>
    <t>Sum of Total Cost</t>
  </si>
  <si>
    <t>Count of Item Type</t>
  </si>
  <si>
    <t>Max of Ship Days</t>
  </si>
  <si>
    <t>Count of Orders</t>
  </si>
  <si>
    <t>Revenue</t>
  </si>
  <si>
    <t>Profit</t>
  </si>
  <si>
    <t>Count of Order ID</t>
  </si>
  <si>
    <t>Days to Ship</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</si>
</sst>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4" formatCode="_-&quot;₦&quot;* #,##0.00_-;\-&quot;₦&quot;* #,##0.00_-;_-&quot;₦&quot;* &quot;-&quot;??_-;_-@_-"/>
    <numFmt numFmtId="43" formatCode="_-* #,##0.00_-;\-* #,##0.00_-;_-* &quot;-&quot;??_-;_-@_-"/>
    <numFmt numFmtId="164" formatCode="&quot;₦&quot;#,##0.00"/>
    <numFmt numFmtId="165" formatCode="_-[$$-409]* #,##0.00_ ;_-[$$-409]* \-#,##0.00\ ;_-[$$-409]* &quot;-&quot;??_ ;_-@_ "/>
    <numFmt numFmtId="166" formatCode="_-[$$-409]* #,##0_ ;_-[$$-409]* \-#,##0\ ;_-[$$-409]* &quot;-&quot;??_ ;_-@_ "/>
    <numFmt numFmtId="167" formatCode="_-* #,##0_-;\-* #,##0_-;_-* &quot;-&quot;??_-;_-@_-"/>
  </numFmts>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0">
    <xf numFmtId="0" fontId="0" fillId="0" borderId="0" xfId="0"/>
    <xf numFmtId="14" fontId="0" fillId="0" borderId="0" xfId="0" applyNumberFormat="1"/>
    <xf numFmtId="4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xf numFmtId="14" fontId="0" fillId="0" borderId="0" xfId="0" applyNumberFormat="1" applyAlignment="1">
      <alignment horizontal="right"/>
    </xf>
    <xf numFmtId="1" fontId="0" fillId="0" borderId="0" xfId="0" applyNumberFormat="1"/>
    <xf numFmtId="165" fontId="0" fillId="0" borderId="0" xfId="0" applyNumberFormat="1"/>
    <xf numFmtId="165" fontId="0" fillId="0" borderId="0" xfId="0" applyNumberFormat="1" applyAlignment="1"/>
    <xf numFmtId="0" fontId="0" fillId="33" borderId="0" xfId="0" applyFill="1"/>
    <xf numFmtId="0" fontId="0" fillId="34" borderId="0" xfId="0" applyFill="1"/>
    <xf numFmtId="166" fontId="0" fillId="0" borderId="0" xfId="0" applyNumberFormat="1"/>
    <xf numFmtId="3" fontId="0" fillId="0" borderId="0" xfId="0" applyNumberFormat="1"/>
    <xf numFmtId="167" fontId="0" fillId="0" borderId="0" xfId="42" applyNumberFormat="1" applyFont="1"/>
    <xf numFmtId="166" fontId="0" fillId="0" borderId="0" xfId="43" applyNumberFormat="1" applyFont="1"/>
    <xf numFmtId="167" fontId="0" fillId="0" borderId="0" xfId="0" applyNumberFormat="1"/>
    <xf numFmtId="166" fontId="0" fillId="0" borderId="0" xfId="0" applyNumberFormat="1" applyAlignme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66" formatCode="_-[$$-409]* #,##0_ ;_-[$$-409]* \-#,##0\ ;_-[$$-409]* &quot;-&quot;??_ ;_-@_ "/>
    </dxf>
    <dxf>
      <numFmt numFmtId="166" formatCode="_-[$$-409]* #,##0_ ;_-[$$-409]* \-#,##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6" formatCode="_-[$$-409]* #,##0_ ;_-[$$-409]* \-#,##0\ ;_-[$$-409]* &quot;-&quot;??_ ;_-@_ "/>
    </dxf>
    <dxf>
      <numFmt numFmtId="165" formatCode="_-[$$-409]* #,##0.00_ ;_-[$$-409]* \-#,##0.00\ ;_-[$$-409]* &quot;-&quot;??_ ;_-@_ "/>
    </dxf>
    <dxf>
      <numFmt numFmtId="167" formatCode="_-* #,##0_-;\-* #,##0_-;_-* &quot;-&quot;??_-;_-@_-"/>
    </dxf>
    <dxf>
      <numFmt numFmtId="167" formatCode="_-* #,##0_-;\-* #,##0_-;_-* &quot;-&quot;??_-;_-@_-"/>
    </dxf>
    <dxf>
      <numFmt numFmtId="166" formatCode="_-[$$-409]* #,##0_ ;_-[$$-409]* \-#,##0\ ;_-[$$-409]* &quot;-&quot;??_ ;_-@_ "/>
    </dxf>
    <dxf>
      <numFmt numFmtId="166" formatCode="_-[$$-409]* #,##0_ ;_-[$$-409]* \-#,##0\ ;_-[$$-409]* &quot;-&quot;??_ ;_-@_ "/>
    </dxf>
    <dxf>
      <numFmt numFmtId="167" formatCode="_-* #,##0_-;\-* #,##0_-;_-* &quot;-&quot;??_-;_-@_-"/>
    </dxf>
    <dxf>
      <numFmt numFmtId="166" formatCode="_-[$$-409]* #,##0_ ;_-[$$-409]* \-#,##0\ ;_-[$$-409]* &quot;-&quot;??_ ;_-@_ "/>
    </dxf>
    <dxf>
      <numFmt numFmtId="1" formatCode="0"/>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166" formatCode="_-[$$-409]* #,##0_ ;_-[$$-409]* \-#,##0\ ;_-[$$-409]* &quot;-&quot;??_ ;_-@_ "/>
    </dxf>
    <dxf>
      <numFmt numFmtId="166" formatCode="_-[$$-409]* #,##0_ ;_-[$$-409]* \-#,##0\ ;_-[$$-409]* &quot;-&quot;??_ ;_-@_ "/>
    </dxf>
    <dxf>
      <numFmt numFmtId="166" formatCode="_-[$$-409]* #,##0_ ;_-[$$-409]* \-#,##0\ ;_-[$$-409]* &quot;-&quot;??_ ;_-@_ "/>
    </dxf>
    <dxf>
      <numFmt numFmtId="166" formatCode="_-[$$-409]* #,##0_ ;_-[$$-409]* \-#,##0\ ;_-[$$-409]* &quot;-&quot;??_ ;_-@_ "/>
    </dxf>
    <dxf>
      <numFmt numFmtId="165" formatCode="_-[$$-409]* #,##0.00_ ;_-[$$-409]* \-#,##0.00\ ;_-[$$-409]* &quot;-&quot;??_ ;_-@_ "/>
    </dxf>
    <dxf>
      <numFmt numFmtId="165" formatCode="_-[$$-409]* #,##0.00_ ;_-[$$-409]* \-#,##0.00\ ;_-[$$-409]* &quot;-&quot;??_ ;_-@_ "/>
    </dxf>
    <dxf>
      <numFmt numFmtId="165" formatCode="_-[$$-409]* #,##0.00_ ;_-[$$-409]* \-#,##0.00\ ;_-[$$-409]* &quot;-&quot;??_ ;_-@_ "/>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tableStyleElement type="wholeTable" dxfId="39"/>
      <tableStyleElement type="headerRow" dxfId="38"/>
    </tableStyle>
  </tableStyles>
  <colors>
    <mruColors>
      <color rgb="FFFFFF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Yearly Sales.xlsx]Report!PivotTable2</c:name>
    <c:fmtId val="32"/>
  </c:pivotSource>
  <c:chart>
    <c:autoTitleDeleted val="1"/>
    <c:pivotFmts>
      <c:pivotFmt>
        <c:idx val="0"/>
        <c:spPr>
          <a:solidFill>
            <a:schemeClr val="accent1"/>
          </a:solidFill>
          <a:ln>
            <a:noFill/>
          </a:ln>
          <a:effectLst>
            <a:outerShdw blurRad="76200" dist="12700" dir="8100000" sy="-23000" kx="800400" algn="br" rotWithShape="0">
              <a:prstClr val="black">
                <a:alpha val="20000"/>
              </a:prstClr>
            </a:outerShdw>
          </a:effectLst>
          <a:scene3d>
            <a:camera prst="orthographicFront"/>
            <a:lightRig rig="threePt" dir="t"/>
          </a:scene3d>
          <a:sp3d prstMaterial="dkEdg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50000"/>
                        <a:lumOff val="50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76200" dist="12700" dir="8100000" sy="-23000" kx="800400" algn="br" rotWithShape="0">
              <a:prstClr val="black">
                <a:alpha val="20000"/>
              </a:prstClr>
            </a:outerShdw>
          </a:effectLst>
          <a:scene3d>
            <a:camera prst="orthographicFront"/>
            <a:lightRig rig="threePt" dir="t"/>
          </a:scene3d>
          <a:sp3d prstMaterial="dkEdg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50000"/>
                        <a:lumOff val="50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9.954228275986966E-17"/>
              <c:y val="-1.9786061265123875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0"/>
              <c:y val="-1.4839545948842927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0"/>
              <c:y val="-2.9679091897685809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0"/>
              <c:y val="-2.473257658140484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0"/>
              <c:y val="-3.957212253024775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0"/>
              <c:y val="-3.4625607213966826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dLbl>
          <c:idx val="0"/>
          <c:layout>
            <c:manualLayout>
              <c:x val="0"/>
              <c:y val="-3.9572122530247791E-2"/>
            </c:manualLayout>
          </c:layout>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0692513866188908E-2"/>
          <c:y val="6.5870056990088272E-2"/>
          <c:w val="0.97930752405949262"/>
          <c:h val="0.67036240513456857"/>
        </c:manualLayout>
      </c:layout>
      <c:bar3DChart>
        <c:barDir val="col"/>
        <c:grouping val="clustered"/>
        <c:varyColors val="0"/>
        <c:ser>
          <c:idx val="0"/>
          <c:order val="0"/>
          <c:tx>
            <c:strRef>
              <c:f>Report!$F$3</c:f>
              <c:strCache>
                <c:ptCount val="1"/>
                <c:pt idx="0">
                  <c:v>Total</c:v>
                </c:pt>
              </c:strCache>
            </c:strRef>
          </c:tx>
          <c:spPr>
            <a:solidFill>
              <a:srgbClr val="002060"/>
            </a:solidFill>
            <a:ln>
              <a:solidFill>
                <a:schemeClr val="accent1"/>
              </a:solidFill>
            </a:ln>
            <a:effectLst>
              <a:outerShdw blurRad="76200" dist="12700" dir="8100000" sy="-23000" kx="800400" algn="br" rotWithShape="0">
                <a:prstClr val="black">
                  <a:alpha val="20000"/>
                </a:prstClr>
              </a:outerShdw>
            </a:effectLst>
            <a:scene3d>
              <a:camera prst="orthographicFront"/>
              <a:lightRig rig="threePt" dir="t"/>
            </a:scene3d>
            <a:sp3d prstMaterial="dkEdge">
              <a:contourClr>
                <a:schemeClr val="accent1"/>
              </a:contourClr>
            </a:sp3d>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Lbls>
            <c:dLbl>
              <c:idx val="0"/>
              <c:layout>
                <c:manualLayout>
                  <c:x val="0"/>
                  <c:y val="-3.9572122530247791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3.4625607213966826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
                  <c:y val="-3.957212253024775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1.4839545948842927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
                  <c:y val="-2.9679091897685809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
                  <c:y val="-2.473257658140484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9.954228275986966E-17"/>
                  <c:y val="-1.9786061265123875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anchor="ctr" anchorCtr="1"/>
              <a:lstStyle/>
              <a:p>
                <a:pPr>
                  <a:defRPr sz="900" b="0" i="0" u="none" strike="noStrike" kern="1200" baseline="0">
                    <a:ln>
                      <a:solidFill>
                        <a:schemeClr val="tx1">
                          <a:lumMod val="50000"/>
                          <a:lumOff val="50000"/>
                        </a:schemeClr>
                      </a:solidFill>
                    </a:ln>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Report!$E$4:$E$11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Report!$F$4:$F$11</c:f>
              <c:numCache>
                <c:formatCode>_-[$$-409]* #,##0_ ;_-[$$-409]* \-#,##0\ ;_-[$$-409]* "-"??_ ;_-@_ </c:formatCode>
                <c:ptCount val="7"/>
                <c:pt idx="0">
                  <c:v>21347091.020000003</c:v>
                </c:pt>
                <c:pt idx="1">
                  <c:v>14094265.130000003</c:v>
                </c:pt>
                <c:pt idx="2">
                  <c:v>9170385.4899999984</c:v>
                </c:pt>
                <c:pt idx="3">
                  <c:v>33368932.110000003</c:v>
                </c:pt>
                <c:pt idx="4">
                  <c:v>14052706.58</c:v>
                </c:pt>
                <c:pt idx="5">
                  <c:v>5643356.5500000007</c:v>
                </c:pt>
                <c:pt idx="6">
                  <c:v>39672031.429999992</c:v>
                </c:pt>
              </c:numCache>
            </c:numRef>
          </c:val>
          <c:shape val="cylinder"/>
        </c:ser>
        <c:dLbls>
          <c:showLegendKey val="0"/>
          <c:showVal val="0"/>
          <c:showCatName val="0"/>
          <c:showSerName val="0"/>
          <c:showPercent val="0"/>
          <c:showBubbleSize val="0"/>
        </c:dLbls>
        <c:gapWidth val="100"/>
        <c:shape val="box"/>
        <c:axId val="229727352"/>
        <c:axId val="229726568"/>
        <c:axId val="0"/>
      </c:bar3DChart>
      <c:catAx>
        <c:axId val="229727352"/>
        <c:scaling>
          <c:orientation val="minMax"/>
        </c:scaling>
        <c:delete val="0"/>
        <c:axPos val="b"/>
        <c:numFmt formatCode="General" sourceLinked="0"/>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ln>
                  <a:solidFill>
                    <a:schemeClr val="tx1">
                      <a:lumMod val="50000"/>
                      <a:lumOff val="50000"/>
                    </a:schemeClr>
                  </a:solidFill>
                </a:ln>
                <a:noFill/>
                <a:latin typeface="+mn-lt"/>
                <a:ea typeface="+mn-ea"/>
                <a:cs typeface="+mn-cs"/>
              </a:defRPr>
            </a:pPr>
            <a:endParaRPr lang="en-US"/>
          </a:p>
        </c:txPr>
        <c:crossAx val="229726568"/>
        <c:crosses val="autoZero"/>
        <c:auto val="1"/>
        <c:lblAlgn val="ctr"/>
        <c:lblOffset val="100"/>
        <c:noMultiLvlLbl val="0"/>
      </c:catAx>
      <c:valAx>
        <c:axId val="229726568"/>
        <c:scaling>
          <c:orientation val="minMax"/>
        </c:scaling>
        <c:delete val="1"/>
        <c:axPos val="l"/>
        <c:numFmt formatCode="_-[$$-409]* #,##0_ ;_-[$$-409]* \-#,##0\ ;_-[$$-409]* &quot;-&quot;??_ ;_-@_ " sourceLinked="1"/>
        <c:majorTickMark val="out"/>
        <c:minorTickMark val="none"/>
        <c:tickLblPos val="nextTo"/>
        <c:crossAx val="229727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ln>
            <a:solidFill>
              <a:schemeClr val="tx1">
                <a:lumMod val="50000"/>
                <a:lumOff val="50000"/>
              </a:schemeClr>
            </a:solidFill>
          </a:ln>
          <a:no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Yearly Sales.xlsx]Report!PivotTable3</c:name>
    <c:fmtId val="26"/>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0277777777777776"/>
              <c:y val="7.290755322251385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41388888888888881"/>
              <c:y val="1.0936132983483173E-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36666666666666659"/>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3"/>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9166666666666669"/>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888888888888888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29722222222222211"/>
              <c:y val="4.629994167395742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6111111111111112"/>
              <c:y val="3.6453776628232037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21944444444444444"/>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6111111111111112"/>
              <c:y val="3.6453776628232037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14166666666666661"/>
              <c:y val="3.6453776611256925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11388888888888889"/>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41388888888888881"/>
              <c:y val="1.0936132983483173E-6"/>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36666666666666659"/>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3"/>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29166666666666669"/>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2888888888888888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30277777777777776"/>
              <c:y val="7.290755322251385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9722222222222211"/>
              <c:y val="4.629994167395742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25277777777777777"/>
              <c:y val="-4.629629629629544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21944444444444444"/>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16111111111111112"/>
              <c:y val="3.6453776628232037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14166666666666661"/>
              <c:y val="3.6453776611256925E-7"/>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11388888888888889"/>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solidFill>
              <a:schemeClr val="accent2"/>
            </a:solidFill>
          </a:ln>
          <a:effectLst/>
          <a:scene3d>
            <a:camera prst="orthographicFront"/>
            <a:lightRig rig="threePt" dir="t"/>
          </a:scene3d>
          <a:sp3d prstMaterial="dkEdge"/>
        </c:spPr>
        <c:marker>
          <c:symbol val="none"/>
        </c:marker>
      </c:pivotFmt>
      <c:pivotFmt>
        <c:idx val="27"/>
        <c:spPr>
          <a:solidFill>
            <a:schemeClr val="accent2"/>
          </a:solidFill>
          <a:ln>
            <a:solidFill>
              <a:schemeClr val="accent2"/>
            </a:solidFill>
          </a:ln>
          <a:effectLst/>
          <a:scene3d>
            <a:camera prst="orthographicFront"/>
            <a:lightRig rig="threePt" dir="t"/>
          </a:scene3d>
          <a:sp3d prstMaterial="dkEdge"/>
        </c:spPr>
      </c:pivotFmt>
      <c:pivotFmt>
        <c:idx val="28"/>
        <c:spPr>
          <a:solidFill>
            <a:schemeClr val="accent2"/>
          </a:solidFill>
          <a:ln>
            <a:solidFill>
              <a:schemeClr val="accent2"/>
            </a:solidFill>
          </a:ln>
          <a:effectLst/>
          <a:scene3d>
            <a:camera prst="orthographicFront"/>
            <a:lightRig rig="threePt" dir="t"/>
          </a:scene3d>
          <a:sp3d prstMaterial="dkEdge"/>
        </c:spPr>
      </c:pivotFmt>
      <c:pivotFmt>
        <c:idx val="29"/>
        <c:spPr>
          <a:solidFill>
            <a:schemeClr val="accent2"/>
          </a:solidFill>
          <a:ln>
            <a:solidFill>
              <a:schemeClr val="accent2"/>
            </a:solidFill>
          </a:ln>
          <a:effectLst/>
          <a:scene3d>
            <a:camera prst="orthographicFront"/>
            <a:lightRig rig="threePt" dir="t"/>
          </a:scene3d>
          <a:sp3d prstMaterial="dkEdge"/>
        </c:spPr>
      </c:pivotFmt>
      <c:pivotFmt>
        <c:idx val="30"/>
        <c:spPr>
          <a:solidFill>
            <a:schemeClr val="accent2"/>
          </a:solidFill>
          <a:ln>
            <a:solidFill>
              <a:schemeClr val="accent2"/>
            </a:solidFill>
          </a:ln>
          <a:effectLst/>
          <a:scene3d>
            <a:camera prst="orthographicFront"/>
            <a:lightRig rig="threePt" dir="t"/>
          </a:scene3d>
          <a:sp3d prstMaterial="dkEdge"/>
        </c:spPr>
      </c:pivotFmt>
      <c:pivotFmt>
        <c:idx val="31"/>
        <c:spPr>
          <a:solidFill>
            <a:schemeClr val="accent2"/>
          </a:solidFill>
          <a:ln>
            <a:solidFill>
              <a:schemeClr val="accent2"/>
            </a:solidFill>
          </a:ln>
          <a:effectLst/>
          <a:scene3d>
            <a:camera prst="orthographicFront"/>
            <a:lightRig rig="threePt" dir="t"/>
          </a:scene3d>
          <a:sp3d prstMaterial="dkEdge"/>
        </c:spPr>
      </c:pivotFmt>
      <c:pivotFmt>
        <c:idx val="32"/>
        <c:spPr>
          <a:solidFill>
            <a:schemeClr val="accent2"/>
          </a:solidFill>
          <a:ln>
            <a:solidFill>
              <a:schemeClr val="accent2"/>
            </a:solidFill>
          </a:ln>
          <a:effectLst/>
          <a:scene3d>
            <a:camera prst="orthographicFront"/>
            <a:lightRig rig="threePt" dir="t"/>
          </a:scene3d>
          <a:sp3d prstMaterial="dkEdge"/>
        </c:spPr>
      </c:pivotFmt>
      <c:pivotFmt>
        <c:idx val="33"/>
        <c:spPr>
          <a:solidFill>
            <a:schemeClr val="accent2"/>
          </a:solidFill>
          <a:ln>
            <a:solidFill>
              <a:schemeClr val="accent2"/>
            </a:solidFill>
          </a:ln>
          <a:effectLst/>
          <a:scene3d>
            <a:camera prst="orthographicFront"/>
            <a:lightRig rig="threePt" dir="t"/>
          </a:scene3d>
          <a:sp3d prstMaterial="dkEdge"/>
        </c:spPr>
      </c:pivotFmt>
      <c:pivotFmt>
        <c:idx val="34"/>
        <c:spPr>
          <a:solidFill>
            <a:schemeClr val="accent2"/>
          </a:solidFill>
          <a:ln>
            <a:solidFill>
              <a:schemeClr val="accent2"/>
            </a:solidFill>
          </a:ln>
          <a:effectLst/>
          <a:scene3d>
            <a:camera prst="orthographicFront"/>
            <a:lightRig rig="threePt" dir="t"/>
          </a:scene3d>
          <a:sp3d prstMaterial="dkEdge"/>
        </c:spPr>
      </c:pivotFmt>
      <c:pivotFmt>
        <c:idx val="35"/>
        <c:spPr>
          <a:solidFill>
            <a:schemeClr val="accent2"/>
          </a:solidFill>
          <a:ln>
            <a:solidFill>
              <a:schemeClr val="accent2"/>
            </a:solidFill>
          </a:ln>
          <a:effectLst/>
          <a:scene3d>
            <a:camera prst="orthographicFront"/>
            <a:lightRig rig="threePt" dir="t"/>
          </a:scene3d>
          <a:sp3d prstMaterial="dkEdge"/>
        </c:spPr>
      </c:pivotFmt>
      <c:pivotFmt>
        <c:idx val="36"/>
        <c:spPr>
          <a:solidFill>
            <a:schemeClr val="accent2"/>
          </a:solidFill>
          <a:ln>
            <a:solidFill>
              <a:schemeClr val="accent2"/>
            </a:solidFill>
          </a:ln>
          <a:effectLst/>
          <a:scene3d>
            <a:camera prst="orthographicFront"/>
            <a:lightRig rig="threePt" dir="t"/>
          </a:scene3d>
          <a:sp3d prstMaterial="dkEdge"/>
        </c:spPr>
      </c:pivotFmt>
      <c:pivotFmt>
        <c:idx val="37"/>
        <c:spPr>
          <a:solidFill>
            <a:schemeClr val="accent2"/>
          </a:solidFill>
          <a:ln>
            <a:solidFill>
              <a:schemeClr val="accent2"/>
            </a:solidFill>
          </a:ln>
          <a:effectLst/>
          <a:scene3d>
            <a:camera prst="orthographicFront"/>
            <a:lightRig rig="threePt" dir="t"/>
          </a:scene3d>
          <a:sp3d prstMaterial="dkEdge"/>
        </c:spPr>
      </c:pivotFmt>
      <c:pivotFmt>
        <c:idx val="38"/>
        <c:spPr>
          <a:solidFill>
            <a:schemeClr val="accent2"/>
          </a:solidFill>
          <a:ln>
            <a:solidFill>
              <a:schemeClr val="accent2"/>
            </a:solidFill>
          </a:ln>
          <a:effectLst/>
          <a:scene3d>
            <a:camera prst="orthographicFront"/>
            <a:lightRig rig="threePt" dir="t"/>
          </a:scene3d>
          <a:sp3d prstMaterial="dkEdge"/>
        </c:spPr>
      </c:pivotFmt>
    </c:pivotFmts>
    <c:plotArea>
      <c:layout>
        <c:manualLayout>
          <c:layoutTarget val="inner"/>
          <c:xMode val="edge"/>
          <c:yMode val="edge"/>
          <c:x val="0.18738018958278244"/>
          <c:y val="0.14326941844765104"/>
          <c:w val="0.74572375328083984"/>
          <c:h val="0.85556357538641004"/>
        </c:manualLayout>
      </c:layout>
      <c:barChart>
        <c:barDir val="bar"/>
        <c:grouping val="clustered"/>
        <c:varyColors val="0"/>
        <c:ser>
          <c:idx val="0"/>
          <c:order val="0"/>
          <c:tx>
            <c:strRef>
              <c:f>Report!$B$17</c:f>
              <c:strCache>
                <c:ptCount val="1"/>
                <c:pt idx="0">
                  <c:v>Total</c:v>
                </c:pt>
              </c:strCache>
            </c:strRef>
          </c:tx>
          <c:spPr>
            <a:solidFill>
              <a:schemeClr val="accent2"/>
            </a:solidFill>
            <a:ln>
              <a:solidFill>
                <a:schemeClr val="accent2"/>
              </a:solidFill>
            </a:ln>
            <a:effectLst/>
            <a:scene3d>
              <a:camera prst="orthographicFront"/>
              <a:lightRig rig="threePt" dir="t"/>
            </a:scene3d>
            <a:sp3d prstMaterial="dkEdge"/>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Pt>
            <c:idx val="8"/>
            <c:invertIfNegative val="0"/>
            <c:bubble3D val="0"/>
          </c:dPt>
          <c:dPt>
            <c:idx val="9"/>
            <c:invertIfNegative val="0"/>
            <c:bubble3D val="0"/>
          </c:dPt>
          <c:dPt>
            <c:idx val="10"/>
            <c:invertIfNegative val="0"/>
            <c:bubble3D val="0"/>
          </c:dPt>
          <c:dPt>
            <c:idx val="11"/>
            <c:invertIfNegative val="0"/>
            <c:bubble3D val="0"/>
          </c:dPt>
          <c:cat>
            <c:strRef>
              <c:f>Report!$A$18:$A$29</c:f>
              <c:strCache>
                <c:ptCount val="12"/>
                <c:pt idx="0">
                  <c:v>Cosmetics</c:v>
                </c:pt>
                <c:pt idx="1">
                  <c:v>Clothes</c:v>
                </c:pt>
                <c:pt idx="2">
                  <c:v>Beverages</c:v>
                </c:pt>
                <c:pt idx="3">
                  <c:v>Fruits</c:v>
                </c:pt>
                <c:pt idx="4">
                  <c:v>Personal Care</c:v>
                </c:pt>
                <c:pt idx="5">
                  <c:v>Office Supplies</c:v>
                </c:pt>
                <c:pt idx="6">
                  <c:v>Household</c:v>
                </c:pt>
                <c:pt idx="7">
                  <c:v>Baby Food</c:v>
                </c:pt>
                <c:pt idx="8">
                  <c:v>Cereal</c:v>
                </c:pt>
                <c:pt idx="9">
                  <c:v>Vegetables</c:v>
                </c:pt>
                <c:pt idx="10">
                  <c:v>Snacks</c:v>
                </c:pt>
                <c:pt idx="11">
                  <c:v>Meat</c:v>
                </c:pt>
              </c:strCache>
            </c:strRef>
          </c:cat>
          <c:val>
            <c:numRef>
              <c:f>Report!$B$18:$B$29</c:f>
              <c:numCache>
                <c:formatCode>_-* #,##0_-;\-* #,##0_-;_-* "-"??_-;_-@_-</c:formatCode>
                <c:ptCount val="12"/>
                <c:pt idx="0">
                  <c:v>83718</c:v>
                </c:pt>
                <c:pt idx="1">
                  <c:v>71260</c:v>
                </c:pt>
                <c:pt idx="2">
                  <c:v>56708</c:v>
                </c:pt>
                <c:pt idx="3">
                  <c:v>49998</c:v>
                </c:pt>
                <c:pt idx="4">
                  <c:v>48708</c:v>
                </c:pt>
                <c:pt idx="5">
                  <c:v>46967</c:v>
                </c:pt>
                <c:pt idx="6">
                  <c:v>44727</c:v>
                </c:pt>
                <c:pt idx="7">
                  <c:v>40545</c:v>
                </c:pt>
                <c:pt idx="8">
                  <c:v>25877</c:v>
                </c:pt>
                <c:pt idx="9">
                  <c:v>20051</c:v>
                </c:pt>
                <c:pt idx="10">
                  <c:v>13637</c:v>
                </c:pt>
                <c:pt idx="11">
                  <c:v>10675</c:v>
                </c:pt>
              </c:numCache>
            </c:numRef>
          </c:val>
        </c:ser>
        <c:dLbls>
          <c:showLegendKey val="0"/>
          <c:showVal val="0"/>
          <c:showCatName val="0"/>
          <c:showSerName val="0"/>
          <c:showPercent val="0"/>
          <c:showBubbleSize val="0"/>
        </c:dLbls>
        <c:gapWidth val="50"/>
        <c:axId val="229728136"/>
        <c:axId val="229728920"/>
      </c:barChart>
      <c:catAx>
        <c:axId val="229728136"/>
        <c:scaling>
          <c:orientation val="maxMin"/>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728920"/>
        <c:crosses val="autoZero"/>
        <c:auto val="1"/>
        <c:lblAlgn val="ctr"/>
        <c:lblOffset val="100"/>
        <c:noMultiLvlLbl val="0"/>
      </c:catAx>
      <c:valAx>
        <c:axId val="229728920"/>
        <c:scaling>
          <c:orientation val="minMax"/>
        </c:scaling>
        <c:delete val="0"/>
        <c:axPos val="t"/>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728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Yearly Sales.xlsx]Report!PivotTable4</c:name>
    <c:fmtId val="53"/>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rgbClr val="00206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
              <c:y val="-0.169934553067493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3915729120288512E-2"/>
              <c:y val="-0.163398608718743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Report!$E$17</c:f>
              <c:strCache>
                <c:ptCount val="1"/>
                <c:pt idx="0">
                  <c:v>Total</c:v>
                </c:pt>
              </c:strCache>
            </c:strRef>
          </c:tx>
          <c:explosion val="4"/>
          <c:dPt>
            <c:idx val="0"/>
            <c:bubble3D val="0"/>
            <c:spPr>
              <a:solidFill>
                <a:srgbClr val="00206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layout>
                <c:manualLayout>
                  <c:x val="0"/>
                  <c:y val="-0.169934553067493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ext>
              </c:extLst>
            </c:dLbl>
            <c:dLbl>
              <c:idx val="1"/>
              <c:layout>
                <c:manualLayout>
                  <c:x val="1.3915729120288512E-2"/>
                  <c:y val="-0.163398608718743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bestFit"/>
              <c:showLegendKey val="0"/>
              <c:showVal val="0"/>
              <c:showCatName val="1"/>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Report!$D$18:$D$19</c:f>
              <c:strCache>
                <c:ptCount val="2"/>
                <c:pt idx="0">
                  <c:v>Offline</c:v>
                </c:pt>
                <c:pt idx="1">
                  <c:v>Online</c:v>
                </c:pt>
              </c:strCache>
            </c:strRef>
          </c:cat>
          <c:val>
            <c:numRef>
              <c:f>Report!$E$18:$E$19</c:f>
              <c:numCache>
                <c:formatCode>General</c:formatCode>
                <c:ptCount val="2"/>
                <c:pt idx="0">
                  <c:v>50</c:v>
                </c:pt>
                <c:pt idx="1">
                  <c:v>50</c:v>
                </c:pt>
              </c:numCache>
            </c:numRef>
          </c:val>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Yearly Sales.xlsx]Report!PivotTable15</c:name>
    <c:fmtId val="46"/>
  </c:pivotSource>
  <c:chart>
    <c:autoTitleDeleted val="1"/>
    <c:pivotFmts>
      <c:pivotFmt>
        <c:idx val="0"/>
        <c:spPr>
          <a:solidFill>
            <a:srgbClr val="002060"/>
          </a:solidFill>
          <a:ln>
            <a:solidFill>
              <a:srgbClr val="002060"/>
            </a:solidFill>
          </a:ln>
          <a:effectLst/>
          <a:scene3d>
            <a:camera prst="orthographicFront"/>
            <a:lightRig rig="threePt" dir="t"/>
          </a:scene3d>
          <a:sp3d prstMaterial="dkEdg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solidFill>
              <a:srgbClr val="002060"/>
            </a:solidFill>
          </a:ln>
          <a:effectLst/>
          <a:scene3d>
            <a:camera prst="orthographicFront"/>
            <a:lightRig rig="threePt" dir="t"/>
          </a:scene3d>
          <a:sp3d prstMaterial="dkEdg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solidFill>
              <a:srgbClr val="002060"/>
            </a:solidFill>
          </a:ln>
          <a:effectLst/>
          <a:scene3d>
            <a:camera prst="orthographicFront"/>
            <a:lightRig rig="threePt" dir="t"/>
          </a:scene3d>
          <a:sp3d prstMaterial="dkEdg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788549245032587"/>
          <c:y val="0"/>
          <c:w val="0.81957960951083642"/>
          <c:h val="0.99537037037037035"/>
        </c:manualLayout>
      </c:layout>
      <c:barChart>
        <c:barDir val="bar"/>
        <c:grouping val="clustered"/>
        <c:varyColors val="0"/>
        <c:ser>
          <c:idx val="0"/>
          <c:order val="0"/>
          <c:tx>
            <c:strRef>
              <c:f>Report!$H$17</c:f>
              <c:strCache>
                <c:ptCount val="1"/>
                <c:pt idx="0">
                  <c:v>Total</c:v>
                </c:pt>
              </c:strCache>
            </c:strRef>
          </c:tx>
          <c:spPr>
            <a:solidFill>
              <a:srgbClr val="002060"/>
            </a:solidFill>
            <a:ln>
              <a:solidFill>
                <a:srgbClr val="002060"/>
              </a:solidFill>
            </a:ln>
            <a:effectLst/>
            <a:scene3d>
              <a:camera prst="orthographicFront"/>
              <a:lightRig rig="threePt" dir="t"/>
            </a:scene3d>
            <a:sp3d prstMaterial="dkEdge"/>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Report!$G$18:$G$29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Report!$H$18:$H$29</c:f>
              <c:numCache>
                <c:formatCode>_-[$$-409]* #,##0_ ;_-[$$-409]* \-#,##0\ ;_-[$$-409]* "-"??_ ;_-@_ </c:formatCode>
                <c:ptCount val="12"/>
                <c:pt idx="0">
                  <c:v>3886643.7</c:v>
                </c:pt>
                <c:pt idx="1">
                  <c:v>888047.28</c:v>
                </c:pt>
                <c:pt idx="2">
                  <c:v>2292443.4299999997</c:v>
                </c:pt>
                <c:pt idx="3">
                  <c:v>5233334.4000000004</c:v>
                </c:pt>
                <c:pt idx="4">
                  <c:v>14556048.660000002</c:v>
                </c:pt>
                <c:pt idx="5">
                  <c:v>120495.18</c:v>
                </c:pt>
                <c:pt idx="6">
                  <c:v>7412605.71</c:v>
                </c:pt>
                <c:pt idx="7">
                  <c:v>610610</c:v>
                </c:pt>
                <c:pt idx="8">
                  <c:v>5929583.75</c:v>
                </c:pt>
                <c:pt idx="9">
                  <c:v>1220622.4799999997</c:v>
                </c:pt>
                <c:pt idx="10">
                  <c:v>751944.18</c:v>
                </c:pt>
                <c:pt idx="11">
                  <c:v>1265819.6300000001</c:v>
                </c:pt>
              </c:numCache>
            </c:numRef>
          </c:val>
        </c:ser>
        <c:dLbls>
          <c:dLblPos val="outEnd"/>
          <c:showLegendKey val="0"/>
          <c:showVal val="1"/>
          <c:showCatName val="0"/>
          <c:showSerName val="0"/>
          <c:showPercent val="0"/>
          <c:showBubbleSize val="0"/>
        </c:dLbls>
        <c:gapWidth val="65"/>
        <c:overlap val="-20"/>
        <c:axId val="292955416"/>
        <c:axId val="292956592"/>
      </c:barChart>
      <c:catAx>
        <c:axId val="292955416"/>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956592"/>
        <c:crosses val="autoZero"/>
        <c:auto val="1"/>
        <c:lblAlgn val="ctr"/>
        <c:lblOffset val="100"/>
        <c:noMultiLvlLbl val="0"/>
      </c:catAx>
      <c:valAx>
        <c:axId val="292956592"/>
        <c:scaling>
          <c:orientation val="minMax"/>
        </c:scaling>
        <c:delete val="1"/>
        <c:axPos val="t"/>
        <c:numFmt formatCode="_-[$$-409]* #,##0_ ;_-[$$-409]* \-#,##0\ ;_-[$$-409]* &quot;-&quot;??_ ;_-@_ " sourceLinked="1"/>
        <c:majorTickMark val="none"/>
        <c:minorTickMark val="none"/>
        <c:tickLblPos val="nextTo"/>
        <c:crossAx val="292955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[Company Yearly Sales.xlsx]Report!PivotTable1</c:name>
    <c:fmtId val="51"/>
  </c:pivotSource>
  <c:chart>
    <c:autoTitleDeleted val="1"/>
    <c:pivotFmts>
      <c:pivotFmt>
        <c:idx val="0"/>
        <c:spPr>
          <a:solidFill>
            <a:schemeClr val="accent1"/>
          </a:solidFill>
          <a:ln>
            <a:noFill/>
          </a:ln>
          <a:effectLst>
            <a:outerShdw blurRad="50800" dist="38100" dir="2700000" algn="tl" rotWithShape="0">
              <a:srgbClr val="002060">
                <a:alpha val="40000"/>
              </a:srgbClr>
            </a:outerShdw>
          </a:effectLst>
          <a:scene3d>
            <a:camera prst="orthographicFront"/>
            <a:lightRig rig="threePt" dir="t"/>
          </a:scene3d>
          <a:sp3d prstMaterial="dkEdge"/>
        </c:spPr>
        <c:marker>
          <c:symbol val="circle"/>
          <c:size val="5"/>
          <c:spPr>
            <a:solidFill>
              <a:schemeClr val="accent1"/>
            </a:solidFill>
            <a:ln w="9525">
              <a:solidFill>
                <a:schemeClr val="accent1"/>
              </a:solidFill>
            </a:ln>
            <a:effectLst>
              <a:outerShdw blurRad="50800" dist="38100" dir="2700000" algn="tl" rotWithShape="0">
                <a:srgbClr val="002060">
                  <a:alpha val="40000"/>
                </a:srgbClr>
              </a:outerShdw>
            </a:effectLst>
            <a:scene3d>
              <a:camera prst="orthographicFront"/>
              <a:lightRig rig="threePt" dir="t"/>
            </a:scene3d>
            <a:sp3d prstMaterial="dkEdge"/>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srgbClr val="002060">
                <a:alpha val="40000"/>
              </a:srgbClr>
            </a:outerShdw>
          </a:effectLst>
          <a:scene3d>
            <a:camera prst="orthographicFront"/>
            <a:lightRig rig="threePt" dir="t"/>
          </a:scene3d>
          <a:sp3d prstMaterial="dkEdge"/>
        </c:spPr>
        <c:marker>
          <c:symbol val="none"/>
        </c:marker>
      </c:pivotFmt>
      <c:pivotFmt>
        <c:idx val="2"/>
        <c:spPr>
          <a:ln w="28575" cap="rnd">
            <a:solidFill>
              <a:srgbClr val="002060"/>
            </a:solidFill>
            <a:round/>
          </a:ln>
          <a:effectLst>
            <a:outerShdw blurRad="50800" dist="38100" dir="2700000" algn="tl" rotWithShape="0">
              <a:srgbClr val="002060">
                <a:alpha val="40000"/>
              </a:srgbClr>
            </a:outerShdw>
          </a:effectLst>
        </c:spPr>
        <c:marker>
          <c:symbol val="circle"/>
          <c:size val="5"/>
          <c:spPr>
            <a:solidFill>
              <a:srgbClr val="002060"/>
            </a:solidFill>
            <a:ln w="9525">
              <a:solidFill>
                <a:srgbClr val="002060"/>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8024803149606303"/>
          <c:y val="4.394685039370079E-2"/>
          <c:w val="0.74888342082239723"/>
          <c:h val="0.64703193350831156"/>
        </c:manualLayout>
      </c:layout>
      <c:lineChart>
        <c:grouping val="standard"/>
        <c:varyColors val="0"/>
        <c:ser>
          <c:idx val="0"/>
          <c:order val="0"/>
          <c:tx>
            <c:strRef>
              <c:f>Report!$B$3</c:f>
              <c:strCache>
                <c:ptCount val="1"/>
                <c:pt idx="0">
                  <c:v>Profit</c:v>
                </c:pt>
              </c:strCache>
            </c:strRef>
          </c:tx>
          <c:spPr>
            <a:ln w="28575" cap="rnd">
              <a:solidFill>
                <a:srgbClr val="002060"/>
              </a:solidFill>
              <a:round/>
            </a:ln>
            <a:effectLst>
              <a:outerShdw blurRad="50800" dist="38100" dir="2700000" algn="tl" rotWithShape="0">
                <a:srgbClr val="002060">
                  <a:alpha val="40000"/>
                </a:srgbClr>
              </a:outerShdw>
            </a:effectLst>
          </c:spPr>
          <c:marker>
            <c:symbol val="circle"/>
            <c:size val="5"/>
            <c:spPr>
              <a:solidFill>
                <a:srgbClr val="002060"/>
              </a:solidFill>
              <a:ln w="9525">
                <a:solidFill>
                  <a:srgbClr val="002060"/>
                </a:solidFill>
              </a:ln>
              <a:effectLst/>
            </c:spPr>
          </c:marker>
          <c:cat>
            <c:strRef>
              <c:f>Report!$A$4:$A$13</c:f>
              <c:strCache>
                <c:ptCount val="10"/>
                <c:pt idx="0">
                  <c:v>Djibouti</c:v>
                </c:pt>
                <c:pt idx="1">
                  <c:v>Myanmar</c:v>
                </c:pt>
                <c:pt idx="2">
                  <c:v>Pakistan</c:v>
                </c:pt>
                <c:pt idx="3">
                  <c:v>Samoa </c:v>
                </c:pt>
                <c:pt idx="4">
                  <c:v>Honduras</c:v>
                </c:pt>
                <c:pt idx="5">
                  <c:v>Iceland</c:v>
                </c:pt>
                <c:pt idx="6">
                  <c:v>Azerbaijan</c:v>
                </c:pt>
                <c:pt idx="7">
                  <c:v>Switzerland</c:v>
                </c:pt>
                <c:pt idx="8">
                  <c:v>Mexico</c:v>
                </c:pt>
                <c:pt idx="9">
                  <c:v>Rwanda</c:v>
                </c:pt>
              </c:strCache>
            </c:strRef>
          </c:cat>
          <c:val>
            <c:numRef>
              <c:f>Report!$B$4:$B$13</c:f>
              <c:numCache>
                <c:formatCode>_-[$$-409]* #,##0_ ;_-[$$-409]* \-#,##0\ ;_-[$$-409]* "-"??_ ;_-@_ </c:formatCode>
                <c:ptCount val="10"/>
                <c:pt idx="0">
                  <c:v>2425317.87</c:v>
                </c:pt>
                <c:pt idx="1">
                  <c:v>1802771.7</c:v>
                </c:pt>
                <c:pt idx="2">
                  <c:v>1719922.04</c:v>
                </c:pt>
                <c:pt idx="3">
                  <c:v>1678540.98</c:v>
                </c:pt>
                <c:pt idx="4">
                  <c:v>1609947.52</c:v>
                </c:pt>
                <c:pt idx="5">
                  <c:v>1541705.29</c:v>
                </c:pt>
                <c:pt idx="6">
                  <c:v>1512926.83</c:v>
                </c:pt>
                <c:pt idx="7">
                  <c:v>1512729.45</c:v>
                </c:pt>
                <c:pt idx="8">
                  <c:v>1457942.76</c:v>
                </c:pt>
                <c:pt idx="9">
                  <c:v>1417493.49</c:v>
                </c:pt>
              </c:numCache>
            </c:numRef>
          </c:val>
          <c:smooth val="0"/>
        </c:ser>
        <c:ser>
          <c:idx val="1"/>
          <c:order val="1"/>
          <c:tx>
            <c:strRef>
              <c:f>Report!$C$3</c:f>
              <c:strCache>
                <c:ptCount val="1"/>
                <c:pt idx="0">
                  <c:v>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Report!$A$4:$A$13</c:f>
              <c:strCache>
                <c:ptCount val="10"/>
                <c:pt idx="0">
                  <c:v>Djibouti</c:v>
                </c:pt>
                <c:pt idx="1">
                  <c:v>Myanmar</c:v>
                </c:pt>
                <c:pt idx="2">
                  <c:v>Pakistan</c:v>
                </c:pt>
                <c:pt idx="3">
                  <c:v>Samoa </c:v>
                </c:pt>
                <c:pt idx="4">
                  <c:v>Honduras</c:v>
                </c:pt>
                <c:pt idx="5">
                  <c:v>Iceland</c:v>
                </c:pt>
                <c:pt idx="6">
                  <c:v>Azerbaijan</c:v>
                </c:pt>
                <c:pt idx="7">
                  <c:v>Switzerland</c:v>
                </c:pt>
                <c:pt idx="8">
                  <c:v>Mexico</c:v>
                </c:pt>
                <c:pt idx="9">
                  <c:v>Rwanda</c:v>
                </c:pt>
              </c:strCache>
            </c:strRef>
          </c:cat>
          <c:val>
            <c:numRef>
              <c:f>Report!$C$4:$C$13</c:f>
              <c:numCache>
                <c:formatCode>_-[$$-409]* #,##0_ ;_-[$$-409]* \-#,##0\ ;_-[$$-409]* "-"??_ ;_-@_ </c:formatCode>
                <c:ptCount val="10"/>
                <c:pt idx="0">
                  <c:v>6052890.8600000003</c:v>
                </c:pt>
                <c:pt idx="1">
                  <c:v>6161257.9000000004</c:v>
                </c:pt>
                <c:pt idx="2">
                  <c:v>4324782.4000000004</c:v>
                </c:pt>
                <c:pt idx="3">
                  <c:v>4220728.8</c:v>
                </c:pt>
                <c:pt idx="4">
                  <c:v>6336545.4800000004</c:v>
                </c:pt>
                <c:pt idx="5">
                  <c:v>3876652.4</c:v>
                </c:pt>
                <c:pt idx="6">
                  <c:v>4478800.21</c:v>
                </c:pt>
                <c:pt idx="7">
                  <c:v>3808901.49</c:v>
                </c:pt>
                <c:pt idx="8">
                  <c:v>5643356.5500000007</c:v>
                </c:pt>
                <c:pt idx="9">
                  <c:v>5253769.42</c:v>
                </c:pt>
              </c:numCache>
            </c:numRef>
          </c:val>
          <c:smooth val="0"/>
        </c:ser>
        <c:dLbls>
          <c:showLegendKey val="0"/>
          <c:showVal val="0"/>
          <c:showCatName val="0"/>
          <c:showSerName val="0"/>
          <c:showPercent val="0"/>
          <c:showBubbleSize val="0"/>
        </c:dLbls>
        <c:marker val="1"/>
        <c:smooth val="0"/>
        <c:axId val="292957376"/>
        <c:axId val="292960120"/>
      </c:lineChart>
      <c:catAx>
        <c:axId val="292957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960120"/>
        <c:crosses val="autoZero"/>
        <c:auto val="1"/>
        <c:lblAlgn val="ctr"/>
        <c:lblOffset val="100"/>
        <c:noMultiLvlLbl val="0"/>
      </c:catAx>
      <c:valAx>
        <c:axId val="292960120"/>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957376"/>
        <c:crosses val="autoZero"/>
        <c:crossBetween val="between"/>
      </c:valAx>
      <c:spPr>
        <a:solidFill>
          <a:schemeClr val="bg1"/>
        </a:solidFill>
        <a:ln>
          <a:noFill/>
        </a:ln>
        <a:effectLst/>
      </c:spPr>
    </c:plotArea>
    <c:legend>
      <c:legendPos val="t"/>
      <c:layout>
        <c:manualLayout>
          <c:xMode val="edge"/>
          <c:yMode val="edge"/>
          <c:x val="0.55242738407699044"/>
          <c:y val="1.3888888888888888E-2"/>
          <c:w val="0.3324509792823849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104774</xdr:colOff>
      <xdr:row>0</xdr:row>
      <xdr:rowOff>104775</xdr:rowOff>
    </xdr:from>
    <xdr:to>
      <xdr:col>15</xdr:col>
      <xdr:colOff>342899</xdr:colOff>
      <xdr:row>4</xdr:row>
      <xdr:rowOff>66675</xdr:rowOff>
    </xdr:to>
    <xdr:sp macro="" textlink="">
      <xdr:nvSpPr>
        <xdr:cNvPr id="2" name="Rounded Rectangle 1"/>
        <xdr:cNvSpPr/>
      </xdr:nvSpPr>
      <xdr:spPr>
        <a:xfrm>
          <a:off x="1933574" y="104775"/>
          <a:ext cx="7553325"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rgbClr val="002060"/>
              </a:solidFill>
            </a:rPr>
            <a:t>Sales</a:t>
          </a:r>
          <a:r>
            <a:rPr lang="en-US" sz="2400" b="1" baseline="0">
              <a:solidFill>
                <a:srgbClr val="002060"/>
              </a:solidFill>
            </a:rPr>
            <a:t> Dashboard</a:t>
          </a:r>
        </a:p>
        <a:p>
          <a:pPr algn="l"/>
          <a:r>
            <a:rPr lang="en-US" sz="1000" b="1" i="1">
              <a:solidFill>
                <a:schemeClr val="bg1">
                  <a:lumMod val="50000"/>
                </a:schemeClr>
              </a:solidFill>
            </a:rPr>
            <a:t>Yearly</a:t>
          </a:r>
          <a:r>
            <a:rPr lang="en-US" sz="1000" b="1" i="1" baseline="0">
              <a:solidFill>
                <a:schemeClr val="bg1">
                  <a:lumMod val="50000"/>
                </a:schemeClr>
              </a:solidFill>
            </a:rPr>
            <a:t> Sales</a:t>
          </a:r>
          <a:endParaRPr lang="en-US" sz="1000" b="1" i="1">
            <a:solidFill>
              <a:schemeClr val="bg1">
                <a:lumMod val="50000"/>
              </a:schemeClr>
            </a:solidFill>
          </a:endParaRPr>
        </a:p>
      </xdr:txBody>
    </xdr:sp>
    <xdr:clientData/>
  </xdr:twoCellAnchor>
  <xdr:twoCellAnchor>
    <xdr:from>
      <xdr:col>3</xdr:col>
      <xdr:colOff>257175</xdr:colOff>
      <xdr:row>5</xdr:row>
      <xdr:rowOff>23336</xdr:rowOff>
    </xdr:from>
    <xdr:to>
      <xdr:col>6</xdr:col>
      <xdr:colOff>114299</xdr:colOff>
      <xdr:row>9</xdr:row>
      <xdr:rowOff>9525</xdr:rowOff>
    </xdr:to>
    <xdr:sp macro="" textlink="">
      <xdr:nvSpPr>
        <xdr:cNvPr id="3" name="Rounded Rectangle 2"/>
        <xdr:cNvSpPr/>
      </xdr:nvSpPr>
      <xdr:spPr>
        <a:xfrm>
          <a:off x="2085975" y="975836"/>
          <a:ext cx="1685924" cy="7481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3</xdr:col>
      <xdr:colOff>132217</xdr:colOff>
      <xdr:row>10</xdr:row>
      <xdr:rowOff>19050</xdr:rowOff>
    </xdr:from>
    <xdr:to>
      <xdr:col>10</xdr:col>
      <xdr:colOff>504824</xdr:colOff>
      <xdr:row>23</xdr:row>
      <xdr:rowOff>161925</xdr:rowOff>
    </xdr:to>
    <xdr:sp macro="" textlink="">
      <xdr:nvSpPr>
        <xdr:cNvPr id="7" name="Rounded Rectangle 6"/>
        <xdr:cNvSpPr/>
      </xdr:nvSpPr>
      <xdr:spPr>
        <a:xfrm>
          <a:off x="1961017" y="1924050"/>
          <a:ext cx="4639807" cy="26193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11</xdr:col>
      <xdr:colOff>261937</xdr:colOff>
      <xdr:row>24</xdr:row>
      <xdr:rowOff>171789</xdr:rowOff>
    </xdr:from>
    <xdr:to>
      <xdr:col>19</xdr:col>
      <xdr:colOff>173492</xdr:colOff>
      <xdr:row>39</xdr:row>
      <xdr:rowOff>142875</xdr:rowOff>
    </xdr:to>
    <xdr:sp macro="" textlink="">
      <xdr:nvSpPr>
        <xdr:cNvPr id="8" name="Rounded Rectangle 7"/>
        <xdr:cNvSpPr/>
      </xdr:nvSpPr>
      <xdr:spPr>
        <a:xfrm>
          <a:off x="6941343" y="4743789"/>
          <a:ext cx="4769305" cy="282858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3</xdr:col>
      <xdr:colOff>123825</xdr:colOff>
      <xdr:row>24</xdr:row>
      <xdr:rowOff>152400</xdr:rowOff>
    </xdr:from>
    <xdr:to>
      <xdr:col>11</xdr:col>
      <xdr:colOff>19050</xdr:colOff>
      <xdr:row>38</xdr:row>
      <xdr:rowOff>190499</xdr:rowOff>
    </xdr:to>
    <xdr:sp macro="" textlink="">
      <xdr:nvSpPr>
        <xdr:cNvPr id="9" name="Rounded Rectangle 8"/>
        <xdr:cNvSpPr/>
      </xdr:nvSpPr>
      <xdr:spPr>
        <a:xfrm>
          <a:off x="1952625" y="4724400"/>
          <a:ext cx="4772025" cy="270509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11</xdr:col>
      <xdr:colOff>72119</xdr:colOff>
      <xdr:row>10</xdr:row>
      <xdr:rowOff>61435</xdr:rowOff>
    </xdr:from>
    <xdr:to>
      <xdr:col>15</xdr:col>
      <xdr:colOff>417741</xdr:colOff>
      <xdr:row>23</xdr:row>
      <xdr:rowOff>142875</xdr:rowOff>
    </xdr:to>
    <xdr:sp macro="" textlink="">
      <xdr:nvSpPr>
        <xdr:cNvPr id="11" name="Rounded Rectangle 10"/>
        <xdr:cNvSpPr/>
      </xdr:nvSpPr>
      <xdr:spPr>
        <a:xfrm>
          <a:off x="6777719" y="1966435"/>
          <a:ext cx="2784022" cy="2557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6</xdr:col>
      <xdr:colOff>238125</xdr:colOff>
      <xdr:row>5</xdr:row>
      <xdr:rowOff>23336</xdr:rowOff>
    </xdr:from>
    <xdr:to>
      <xdr:col>9</xdr:col>
      <xdr:colOff>219074</xdr:colOff>
      <xdr:row>9</xdr:row>
      <xdr:rowOff>38100</xdr:rowOff>
    </xdr:to>
    <xdr:sp macro="" textlink="">
      <xdr:nvSpPr>
        <xdr:cNvPr id="15" name="Rounded Rectangle 14"/>
        <xdr:cNvSpPr/>
      </xdr:nvSpPr>
      <xdr:spPr>
        <a:xfrm>
          <a:off x="3895725" y="975836"/>
          <a:ext cx="1809749" cy="77676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9</xdr:col>
      <xdr:colOff>352425</xdr:colOff>
      <xdr:row>5</xdr:row>
      <xdr:rowOff>32861</xdr:rowOff>
    </xdr:from>
    <xdr:to>
      <xdr:col>12</xdr:col>
      <xdr:colOff>323849</xdr:colOff>
      <xdr:row>9</xdr:row>
      <xdr:rowOff>38100</xdr:rowOff>
    </xdr:to>
    <xdr:sp macro="" textlink="">
      <xdr:nvSpPr>
        <xdr:cNvPr id="16" name="Rounded Rectangle 15"/>
        <xdr:cNvSpPr/>
      </xdr:nvSpPr>
      <xdr:spPr>
        <a:xfrm>
          <a:off x="5838825" y="985361"/>
          <a:ext cx="1800224" cy="76723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12</xdr:col>
      <xdr:colOff>485775</xdr:colOff>
      <xdr:row>5</xdr:row>
      <xdr:rowOff>32861</xdr:rowOff>
    </xdr:from>
    <xdr:to>
      <xdr:col>15</xdr:col>
      <xdr:colOff>428624</xdr:colOff>
      <xdr:row>9</xdr:row>
      <xdr:rowOff>57150</xdr:rowOff>
    </xdr:to>
    <xdr:sp macro="" textlink="">
      <xdr:nvSpPr>
        <xdr:cNvPr id="17" name="Rounded Rectangle 16"/>
        <xdr:cNvSpPr/>
      </xdr:nvSpPr>
      <xdr:spPr>
        <a:xfrm>
          <a:off x="7800975" y="985361"/>
          <a:ext cx="1771649" cy="7862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oneCellAnchor>
    <xdr:from>
      <xdr:col>3</xdr:col>
      <xdr:colOff>342900</xdr:colOff>
      <xdr:row>6</xdr:row>
      <xdr:rowOff>28575</xdr:rowOff>
    </xdr:from>
    <xdr:ext cx="184731" cy="264560"/>
    <xdr:sp macro="" textlink="">
      <xdr:nvSpPr>
        <xdr:cNvPr id="4" name="TextBox 3"/>
        <xdr:cNvSpPr txBox="1"/>
      </xdr:nvSpPr>
      <xdr:spPr>
        <a:xfrm>
          <a:off x="2171700" y="11715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514349</xdr:colOff>
      <xdr:row>5</xdr:row>
      <xdr:rowOff>95250</xdr:rowOff>
    </xdr:from>
    <xdr:to>
      <xdr:col>5</xdr:col>
      <xdr:colOff>504825</xdr:colOff>
      <xdr:row>7</xdr:row>
      <xdr:rowOff>0</xdr:rowOff>
    </xdr:to>
    <xdr:sp macro="" textlink="">
      <xdr:nvSpPr>
        <xdr:cNvPr id="6" name="TextBox 5"/>
        <xdr:cNvSpPr txBox="1"/>
      </xdr:nvSpPr>
      <xdr:spPr>
        <a:xfrm>
          <a:off x="2343149" y="1047750"/>
          <a:ext cx="12096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50000"/>
                </a:schemeClr>
              </a:solidFill>
            </a:rPr>
            <a:t>Total Revenue</a:t>
          </a:r>
        </a:p>
      </xdr:txBody>
    </xdr:sp>
    <xdr:clientData/>
  </xdr:twoCellAnchor>
  <xdr:twoCellAnchor>
    <xdr:from>
      <xdr:col>6</xdr:col>
      <xdr:colOff>581024</xdr:colOff>
      <xdr:row>5</xdr:row>
      <xdr:rowOff>104775</xdr:rowOff>
    </xdr:from>
    <xdr:to>
      <xdr:col>8</xdr:col>
      <xdr:colOff>419099</xdr:colOff>
      <xdr:row>6</xdr:row>
      <xdr:rowOff>142875</xdr:rowOff>
    </xdr:to>
    <xdr:sp macro="" textlink="">
      <xdr:nvSpPr>
        <xdr:cNvPr id="18" name="TextBox 17"/>
        <xdr:cNvSpPr txBox="1"/>
      </xdr:nvSpPr>
      <xdr:spPr>
        <a:xfrm>
          <a:off x="4238624" y="1057275"/>
          <a:ext cx="10572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50000"/>
                </a:schemeClr>
              </a:solidFill>
            </a:rPr>
            <a:t>Total</a:t>
          </a:r>
          <a:r>
            <a:rPr lang="en-US" sz="1200" b="1" baseline="0">
              <a:solidFill>
                <a:schemeClr val="bg1">
                  <a:lumMod val="50000"/>
                </a:schemeClr>
              </a:solidFill>
            </a:rPr>
            <a:t> Cost</a:t>
          </a:r>
          <a:endParaRPr lang="en-US" sz="1200" b="1">
            <a:solidFill>
              <a:schemeClr val="bg1">
                <a:lumMod val="50000"/>
              </a:schemeClr>
            </a:solidFill>
          </a:endParaRPr>
        </a:p>
      </xdr:txBody>
    </xdr:sp>
    <xdr:clientData/>
  </xdr:twoCellAnchor>
  <xdr:twoCellAnchor>
    <xdr:from>
      <xdr:col>10</xdr:col>
      <xdr:colOff>38099</xdr:colOff>
      <xdr:row>5</xdr:row>
      <xdr:rowOff>114300</xdr:rowOff>
    </xdr:from>
    <xdr:to>
      <xdr:col>11</xdr:col>
      <xdr:colOff>485774</xdr:colOff>
      <xdr:row>6</xdr:row>
      <xdr:rowOff>152400</xdr:rowOff>
    </xdr:to>
    <xdr:sp macro="" textlink="">
      <xdr:nvSpPr>
        <xdr:cNvPr id="19" name="TextBox 18"/>
        <xdr:cNvSpPr txBox="1"/>
      </xdr:nvSpPr>
      <xdr:spPr>
        <a:xfrm>
          <a:off x="6134099" y="1066800"/>
          <a:ext cx="10572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lumMod val="50000"/>
                </a:schemeClr>
              </a:solidFill>
            </a:rPr>
            <a:t>Gross Profit</a:t>
          </a:r>
        </a:p>
      </xdr:txBody>
    </xdr:sp>
    <xdr:clientData/>
  </xdr:twoCellAnchor>
  <xdr:twoCellAnchor>
    <xdr:from>
      <xdr:col>13</xdr:col>
      <xdr:colOff>114300</xdr:colOff>
      <xdr:row>5</xdr:row>
      <xdr:rowOff>95250</xdr:rowOff>
    </xdr:from>
    <xdr:to>
      <xdr:col>15</xdr:col>
      <xdr:colOff>38100</xdr:colOff>
      <xdr:row>6</xdr:row>
      <xdr:rowOff>104775</xdr:rowOff>
    </xdr:to>
    <xdr:sp macro="" textlink="">
      <xdr:nvSpPr>
        <xdr:cNvPr id="14" name="TextBox 13"/>
        <xdr:cNvSpPr txBox="1"/>
      </xdr:nvSpPr>
      <xdr:spPr>
        <a:xfrm>
          <a:off x="8039100" y="1047750"/>
          <a:ext cx="114300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lumMod val="50000"/>
                </a:schemeClr>
              </a:solidFill>
              <a:effectLst/>
              <a:latin typeface="+mn-lt"/>
              <a:ea typeface="+mn-ea"/>
              <a:cs typeface="+mn-cs"/>
            </a:rPr>
            <a:t>Unit</a:t>
          </a:r>
          <a:r>
            <a:rPr lang="en-US" sz="1200" b="1" baseline="0">
              <a:solidFill>
                <a:schemeClr val="bg1">
                  <a:lumMod val="50000"/>
                </a:schemeClr>
              </a:solidFill>
              <a:effectLst/>
              <a:latin typeface="+mn-lt"/>
              <a:ea typeface="+mn-ea"/>
              <a:cs typeface="+mn-cs"/>
            </a:rPr>
            <a:t> Sold</a:t>
          </a:r>
          <a:endParaRPr lang="en-US" sz="1200" b="1">
            <a:solidFill>
              <a:schemeClr val="bg1">
                <a:lumMod val="50000"/>
              </a:schemeClr>
            </a:solidFill>
            <a:effectLst/>
          </a:endParaRPr>
        </a:p>
        <a:p>
          <a:endParaRPr lang="en-US" sz="1100" b="1">
            <a:solidFill>
              <a:schemeClr val="bg1">
                <a:lumMod val="50000"/>
              </a:schemeClr>
            </a:solidFill>
          </a:endParaRPr>
        </a:p>
      </xdr:txBody>
    </xdr:sp>
    <xdr:clientData/>
  </xdr:twoCellAnchor>
  <xdr:twoCellAnchor>
    <xdr:from>
      <xdr:col>3</xdr:col>
      <xdr:colOff>485775</xdr:colOff>
      <xdr:row>6</xdr:row>
      <xdr:rowOff>85725</xdr:rowOff>
    </xdr:from>
    <xdr:to>
      <xdr:col>5</xdr:col>
      <xdr:colOff>514350</xdr:colOff>
      <xdr:row>8</xdr:row>
      <xdr:rowOff>9526</xdr:rowOff>
    </xdr:to>
    <xdr:sp macro="" textlink="Report!I4">
      <xdr:nvSpPr>
        <xdr:cNvPr id="20" name="TextBox 19"/>
        <xdr:cNvSpPr txBox="1"/>
      </xdr:nvSpPr>
      <xdr:spPr>
        <a:xfrm>
          <a:off x="2314575" y="1228725"/>
          <a:ext cx="12477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D75058-3D13-4468-83CE-756259E8C97A}" type="TxLink">
            <a:rPr lang="en-US" sz="1400" b="1" i="0" u="none" strike="noStrike">
              <a:solidFill>
                <a:srgbClr val="002060"/>
              </a:solidFill>
              <a:latin typeface="Calibri"/>
              <a:cs typeface="Calibri"/>
            </a:rPr>
            <a:pPr algn="ctr"/>
            <a:t> $137,348,768 </a:t>
          </a:fld>
          <a:endParaRPr lang="en-US" sz="2400" b="1" i="0">
            <a:solidFill>
              <a:srgbClr val="002060"/>
            </a:solidFill>
          </a:endParaRPr>
        </a:p>
      </xdr:txBody>
    </xdr:sp>
    <xdr:clientData/>
  </xdr:twoCellAnchor>
  <xdr:twoCellAnchor>
    <xdr:from>
      <xdr:col>6</xdr:col>
      <xdr:colOff>523875</xdr:colOff>
      <xdr:row>6</xdr:row>
      <xdr:rowOff>76200</xdr:rowOff>
    </xdr:from>
    <xdr:to>
      <xdr:col>8</xdr:col>
      <xdr:colOff>552450</xdr:colOff>
      <xdr:row>8</xdr:row>
      <xdr:rowOff>1</xdr:rowOff>
    </xdr:to>
    <xdr:sp macro="" textlink="Report!I7">
      <xdr:nvSpPr>
        <xdr:cNvPr id="21" name="TextBox 20"/>
        <xdr:cNvSpPr txBox="1"/>
      </xdr:nvSpPr>
      <xdr:spPr>
        <a:xfrm>
          <a:off x="4181475" y="1219200"/>
          <a:ext cx="12477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7C2488-899B-4AF7-982E-3DD93CB6D52B}" type="TxLink">
            <a:rPr lang="en-US" sz="1400" b="1" i="0" u="none" strike="noStrike">
              <a:solidFill>
                <a:srgbClr val="002060"/>
              </a:solidFill>
              <a:latin typeface="Calibri"/>
              <a:cs typeface="Calibri"/>
            </a:rPr>
            <a:pPr algn="ctr"/>
            <a:t> $93,180,570 </a:t>
          </a:fld>
          <a:endParaRPr lang="en-US" sz="2400" b="1">
            <a:solidFill>
              <a:srgbClr val="002060"/>
            </a:solidFill>
          </a:endParaRPr>
        </a:p>
      </xdr:txBody>
    </xdr:sp>
    <xdr:clientData/>
  </xdr:twoCellAnchor>
  <xdr:twoCellAnchor>
    <xdr:from>
      <xdr:col>9</xdr:col>
      <xdr:colOff>571500</xdr:colOff>
      <xdr:row>6</xdr:row>
      <xdr:rowOff>85725</xdr:rowOff>
    </xdr:from>
    <xdr:to>
      <xdr:col>11</xdr:col>
      <xdr:colOff>600075</xdr:colOff>
      <xdr:row>8</xdr:row>
      <xdr:rowOff>9526</xdr:rowOff>
    </xdr:to>
    <xdr:sp macro="" textlink="Report!I10">
      <xdr:nvSpPr>
        <xdr:cNvPr id="22" name="TextBox 21"/>
        <xdr:cNvSpPr txBox="1"/>
      </xdr:nvSpPr>
      <xdr:spPr>
        <a:xfrm>
          <a:off x="6057900" y="1228725"/>
          <a:ext cx="12477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AF35A7-9C9F-4370-A587-480DE3210AA9}" type="TxLink">
            <a:rPr lang="en-US" sz="1400" b="1" i="0" u="none" strike="noStrike">
              <a:solidFill>
                <a:srgbClr val="002060"/>
              </a:solidFill>
              <a:latin typeface="Calibri"/>
              <a:cs typeface="Calibri"/>
            </a:rPr>
            <a:pPr algn="ctr"/>
            <a:t> $44,168,198 </a:t>
          </a:fld>
          <a:endParaRPr lang="en-US" sz="2400" b="1">
            <a:solidFill>
              <a:srgbClr val="002060"/>
            </a:solidFill>
          </a:endParaRPr>
        </a:p>
      </xdr:txBody>
    </xdr:sp>
    <xdr:clientData/>
  </xdr:twoCellAnchor>
  <xdr:twoCellAnchor>
    <xdr:from>
      <xdr:col>13</xdr:col>
      <xdr:colOff>38100</xdr:colOff>
      <xdr:row>6</xdr:row>
      <xdr:rowOff>85725</xdr:rowOff>
    </xdr:from>
    <xdr:to>
      <xdr:col>15</xdr:col>
      <xdr:colOff>66675</xdr:colOff>
      <xdr:row>8</xdr:row>
      <xdr:rowOff>9526</xdr:rowOff>
    </xdr:to>
    <xdr:sp macro="" textlink="Report!I13">
      <xdr:nvSpPr>
        <xdr:cNvPr id="23" name="TextBox 22"/>
        <xdr:cNvSpPr txBox="1"/>
      </xdr:nvSpPr>
      <xdr:spPr>
        <a:xfrm>
          <a:off x="7962900" y="1228725"/>
          <a:ext cx="1247775"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3D6AE3-C744-466C-8D29-15B9FCAFDA9C}" type="TxLink">
            <a:rPr lang="en-US" sz="1400" b="1">
              <a:solidFill>
                <a:srgbClr val="002060"/>
              </a:solidFill>
            </a:rPr>
            <a:pPr algn="ctr"/>
            <a:t> 512,871 </a:t>
          </a:fld>
          <a:endParaRPr lang="en-US" sz="1400" b="1">
            <a:solidFill>
              <a:srgbClr val="002060"/>
            </a:solidFill>
          </a:endParaRPr>
        </a:p>
      </xdr:txBody>
    </xdr:sp>
    <xdr:clientData/>
  </xdr:twoCellAnchor>
  <xdr:twoCellAnchor>
    <xdr:from>
      <xdr:col>3</xdr:col>
      <xdr:colOff>57150</xdr:colOff>
      <xdr:row>10</xdr:row>
      <xdr:rowOff>166211</xdr:rowOff>
    </xdr:from>
    <xdr:to>
      <xdr:col>10</xdr:col>
      <xdr:colOff>484643</xdr:colOff>
      <xdr:row>24</xdr:row>
      <xdr:rowOff>66675</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196435</xdr:colOff>
      <xdr:row>26</xdr:row>
      <xdr:rowOff>63122</xdr:rowOff>
    </xdr:from>
    <xdr:to>
      <xdr:col>19</xdr:col>
      <xdr:colOff>107156</xdr:colOff>
      <xdr:row>39</xdr:row>
      <xdr:rowOff>71437</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33073</xdr:colOff>
      <xdr:row>25</xdr:row>
      <xdr:rowOff>21923</xdr:rowOff>
    </xdr:from>
    <xdr:to>
      <xdr:col>15</xdr:col>
      <xdr:colOff>375709</xdr:colOff>
      <xdr:row>26</xdr:row>
      <xdr:rowOff>106590</xdr:rowOff>
    </xdr:to>
    <xdr:sp macro="" textlink="">
      <xdr:nvSpPr>
        <xdr:cNvPr id="27" name="TextBox 26"/>
        <xdr:cNvSpPr txBox="1"/>
      </xdr:nvSpPr>
      <xdr:spPr>
        <a:xfrm>
          <a:off x="7319698" y="4784423"/>
          <a:ext cx="2164292"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Unit</a:t>
          </a:r>
          <a:r>
            <a:rPr lang="en-US" sz="1600" b="1" baseline="0">
              <a:solidFill>
                <a:srgbClr val="002060"/>
              </a:solidFill>
            </a:rPr>
            <a:t> </a:t>
          </a:r>
          <a:r>
            <a:rPr lang="en-US" sz="1600" b="1">
              <a:solidFill>
                <a:srgbClr val="002060"/>
              </a:solidFill>
              <a:latin typeface="+mn-lt"/>
              <a:ea typeface="+mn-ea"/>
              <a:cs typeface="+mn-cs"/>
            </a:rPr>
            <a:t>Sold</a:t>
          </a:r>
          <a:r>
            <a:rPr lang="en-US" sz="1600" b="1" baseline="0">
              <a:solidFill>
                <a:srgbClr val="002060"/>
              </a:solidFill>
            </a:rPr>
            <a:t> by Product</a:t>
          </a:r>
          <a:endParaRPr lang="en-US" sz="1600" b="1">
            <a:solidFill>
              <a:srgbClr val="002060"/>
            </a:solidFill>
          </a:endParaRPr>
        </a:p>
      </xdr:txBody>
    </xdr:sp>
    <xdr:clientData/>
  </xdr:twoCellAnchor>
  <xdr:twoCellAnchor>
    <xdr:from>
      <xdr:col>0</xdr:col>
      <xdr:colOff>67734</xdr:colOff>
      <xdr:row>29</xdr:row>
      <xdr:rowOff>123825</xdr:rowOff>
    </xdr:from>
    <xdr:to>
      <xdr:col>2</xdr:col>
      <xdr:colOff>543984</xdr:colOff>
      <xdr:row>38</xdr:row>
      <xdr:rowOff>23285</xdr:rowOff>
    </xdr:to>
    <xdr:sp macro="" textlink="">
      <xdr:nvSpPr>
        <xdr:cNvPr id="25" name="Rounded Rectangle 24"/>
        <xdr:cNvSpPr/>
      </xdr:nvSpPr>
      <xdr:spPr>
        <a:xfrm>
          <a:off x="67734" y="5648325"/>
          <a:ext cx="1695450" cy="16139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16</xdr:col>
      <xdr:colOff>104777</xdr:colOff>
      <xdr:row>2</xdr:row>
      <xdr:rowOff>2</xdr:rowOff>
    </xdr:from>
    <xdr:to>
      <xdr:col>20</xdr:col>
      <xdr:colOff>285751</xdr:colOff>
      <xdr:row>8</xdr:row>
      <xdr:rowOff>95250</xdr:rowOff>
    </xdr:to>
    <xdr:sp macro="" textlink="">
      <xdr:nvSpPr>
        <xdr:cNvPr id="28" name="Rounded Rectangle 27"/>
        <xdr:cNvSpPr/>
      </xdr:nvSpPr>
      <xdr:spPr>
        <a:xfrm>
          <a:off x="9858377" y="381002"/>
          <a:ext cx="2619374" cy="123824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11</xdr:col>
      <xdr:colOff>85725</xdr:colOff>
      <xdr:row>12</xdr:row>
      <xdr:rowOff>76199</xdr:rowOff>
    </xdr:from>
    <xdr:to>
      <xdr:col>15</xdr:col>
      <xdr:colOff>368301</xdr:colOff>
      <xdr:row>22</xdr:row>
      <xdr:rowOff>114300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219075</xdr:colOff>
      <xdr:row>11</xdr:row>
      <xdr:rowOff>9525</xdr:rowOff>
    </xdr:from>
    <xdr:to>
      <xdr:col>15</xdr:col>
      <xdr:colOff>123825</xdr:colOff>
      <xdr:row>12</xdr:row>
      <xdr:rowOff>133350</xdr:rowOff>
    </xdr:to>
    <xdr:sp macro="" textlink="">
      <xdr:nvSpPr>
        <xdr:cNvPr id="5" name="TextBox 4"/>
        <xdr:cNvSpPr txBox="1"/>
      </xdr:nvSpPr>
      <xdr:spPr>
        <a:xfrm>
          <a:off x="6924675" y="2105025"/>
          <a:ext cx="23431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Orders</a:t>
          </a:r>
          <a:r>
            <a:rPr lang="en-US" sz="1400" b="1">
              <a:solidFill>
                <a:srgbClr val="002060"/>
              </a:solidFill>
            </a:rPr>
            <a:t> by Sales Channel</a:t>
          </a:r>
        </a:p>
      </xdr:txBody>
    </xdr:sp>
    <xdr:clientData/>
  </xdr:twoCellAnchor>
  <xdr:twoCellAnchor>
    <xdr:from>
      <xdr:col>3</xdr:col>
      <xdr:colOff>145255</xdr:colOff>
      <xdr:row>26</xdr:row>
      <xdr:rowOff>178594</xdr:rowOff>
    </xdr:from>
    <xdr:to>
      <xdr:col>10</xdr:col>
      <xdr:colOff>535780</xdr:colOff>
      <xdr:row>38</xdr:row>
      <xdr:rowOff>121444</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409574</xdr:colOff>
      <xdr:row>25</xdr:row>
      <xdr:rowOff>16669</xdr:rowOff>
    </xdr:from>
    <xdr:to>
      <xdr:col>7</xdr:col>
      <xdr:colOff>171450</xdr:colOff>
      <xdr:row>26</xdr:row>
      <xdr:rowOff>83344</xdr:rowOff>
    </xdr:to>
    <xdr:sp macro="" textlink="">
      <xdr:nvSpPr>
        <xdr:cNvPr id="10" name="TextBox 9"/>
        <xdr:cNvSpPr txBox="1"/>
      </xdr:nvSpPr>
      <xdr:spPr>
        <a:xfrm>
          <a:off x="2231230" y="4779169"/>
          <a:ext cx="21907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002060"/>
              </a:solidFill>
            </a:rPr>
            <a:t>Total </a:t>
          </a:r>
          <a:r>
            <a:rPr lang="en-US" sz="1600" b="1">
              <a:solidFill>
                <a:srgbClr val="002060"/>
              </a:solidFill>
            </a:rPr>
            <a:t>Profit</a:t>
          </a:r>
          <a:r>
            <a:rPr lang="en-US" sz="1400" b="1">
              <a:solidFill>
                <a:srgbClr val="002060"/>
              </a:solidFill>
            </a:rPr>
            <a:t> by Item Type</a:t>
          </a:r>
        </a:p>
      </xdr:txBody>
    </xdr:sp>
    <xdr:clientData/>
  </xdr:twoCellAnchor>
  <xdr:twoCellAnchor>
    <xdr:from>
      <xdr:col>16</xdr:col>
      <xdr:colOff>276225</xdr:colOff>
      <xdr:row>3</xdr:row>
      <xdr:rowOff>57150</xdr:rowOff>
    </xdr:from>
    <xdr:to>
      <xdr:col>20</xdr:col>
      <xdr:colOff>247650</xdr:colOff>
      <xdr:row>5</xdr:row>
      <xdr:rowOff>66675</xdr:rowOff>
    </xdr:to>
    <xdr:sp macro="" textlink="">
      <xdr:nvSpPr>
        <xdr:cNvPr id="12" name="TextBox 11"/>
        <xdr:cNvSpPr txBox="1"/>
      </xdr:nvSpPr>
      <xdr:spPr>
        <a:xfrm>
          <a:off x="10029825" y="628650"/>
          <a:ext cx="24098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lumMod val="50000"/>
                </a:schemeClr>
              </a:solidFill>
            </a:rPr>
            <a:t>Total Cost</a:t>
          </a:r>
          <a:r>
            <a:rPr lang="en-US" sz="1400" b="1" baseline="0">
              <a:solidFill>
                <a:schemeClr val="bg1">
                  <a:lumMod val="50000"/>
                </a:schemeClr>
              </a:solidFill>
            </a:rPr>
            <a:t> for "H" Priority</a:t>
          </a:r>
          <a:endParaRPr lang="en-US" sz="1400" b="1">
            <a:solidFill>
              <a:schemeClr val="bg1">
                <a:lumMod val="50000"/>
              </a:schemeClr>
            </a:solidFill>
          </a:endParaRPr>
        </a:p>
      </xdr:txBody>
    </xdr:sp>
    <xdr:clientData/>
  </xdr:twoCellAnchor>
  <xdr:twoCellAnchor>
    <xdr:from>
      <xdr:col>16</xdr:col>
      <xdr:colOff>323850</xdr:colOff>
      <xdr:row>4</xdr:row>
      <xdr:rowOff>161925</xdr:rowOff>
    </xdr:from>
    <xdr:to>
      <xdr:col>20</xdr:col>
      <xdr:colOff>38100</xdr:colOff>
      <xdr:row>8</xdr:row>
      <xdr:rowOff>28575</xdr:rowOff>
    </xdr:to>
    <xdr:sp macro="" textlink="Report!G39">
      <xdr:nvSpPr>
        <xdr:cNvPr id="13" name="TextBox 12"/>
        <xdr:cNvSpPr txBox="1"/>
      </xdr:nvSpPr>
      <xdr:spPr>
        <a:xfrm>
          <a:off x="10077450" y="923925"/>
          <a:ext cx="2152650" cy="628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B7CE72-E0E8-455B-BB72-FFEC57ABDE19}" type="TxLink">
            <a:rPr lang="en-US" sz="2400" b="1" i="0" u="none" strike="noStrike">
              <a:solidFill>
                <a:srgbClr val="002060"/>
              </a:solidFill>
              <a:latin typeface="Calibri"/>
              <a:cs typeface="Calibri"/>
            </a:rPr>
            <a:pPr algn="ctr"/>
            <a:t> $31,857,946 </a:t>
          </a:fld>
          <a:endParaRPr lang="en-US" sz="4800" b="1">
            <a:solidFill>
              <a:srgbClr val="002060"/>
            </a:solidFill>
          </a:endParaRPr>
        </a:p>
      </xdr:txBody>
    </xdr:sp>
    <xdr:clientData/>
  </xdr:twoCellAnchor>
  <xdr:twoCellAnchor>
    <xdr:from>
      <xdr:col>16</xdr:col>
      <xdr:colOff>14969</xdr:colOff>
      <xdr:row>9</xdr:row>
      <xdr:rowOff>66675</xdr:rowOff>
    </xdr:from>
    <xdr:to>
      <xdr:col>22</xdr:col>
      <xdr:colOff>581025</xdr:colOff>
      <xdr:row>24</xdr:row>
      <xdr:rowOff>47625</xdr:rowOff>
    </xdr:to>
    <xdr:sp macro="" textlink="">
      <xdr:nvSpPr>
        <xdr:cNvPr id="31" name="Rounded Rectangle 30"/>
        <xdr:cNvSpPr/>
      </xdr:nvSpPr>
      <xdr:spPr>
        <a:xfrm>
          <a:off x="9768569" y="1781175"/>
          <a:ext cx="4223656" cy="28384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15</xdr:col>
      <xdr:colOff>500744</xdr:colOff>
      <xdr:row>11</xdr:row>
      <xdr:rowOff>104775</xdr:rowOff>
    </xdr:from>
    <xdr:to>
      <xdr:col>23</xdr:col>
      <xdr:colOff>195944</xdr:colOff>
      <xdr:row>25</xdr:row>
      <xdr:rowOff>180975</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428624</xdr:colOff>
      <xdr:row>9</xdr:row>
      <xdr:rowOff>133350</xdr:rowOff>
    </xdr:from>
    <xdr:to>
      <xdr:col>20</xdr:col>
      <xdr:colOff>514350</xdr:colOff>
      <xdr:row>11</xdr:row>
      <xdr:rowOff>57150</xdr:rowOff>
    </xdr:to>
    <xdr:sp macro="" textlink="">
      <xdr:nvSpPr>
        <xdr:cNvPr id="33" name="TextBox 32"/>
        <xdr:cNvSpPr txBox="1"/>
      </xdr:nvSpPr>
      <xdr:spPr>
        <a:xfrm>
          <a:off x="10182224" y="1847850"/>
          <a:ext cx="252412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Best Performing</a:t>
          </a:r>
          <a:r>
            <a:rPr lang="en-US" sz="1600" b="1" baseline="0">
              <a:solidFill>
                <a:srgbClr val="002060"/>
              </a:solidFill>
            </a:rPr>
            <a:t> Country</a:t>
          </a:r>
          <a:endParaRPr lang="en-US" sz="1600" b="1">
            <a:solidFill>
              <a:srgbClr val="002060"/>
            </a:solidFill>
          </a:endParaRPr>
        </a:p>
      </xdr:txBody>
    </xdr:sp>
    <xdr:clientData/>
  </xdr:twoCellAnchor>
  <xdr:twoCellAnchor>
    <xdr:from>
      <xdr:col>0</xdr:col>
      <xdr:colOff>66412</xdr:colOff>
      <xdr:row>18</xdr:row>
      <xdr:rowOff>174624</xdr:rowOff>
    </xdr:from>
    <xdr:to>
      <xdr:col>2</xdr:col>
      <xdr:colOff>542662</xdr:colOff>
      <xdr:row>28</xdr:row>
      <xdr:rowOff>190499</xdr:rowOff>
    </xdr:to>
    <xdr:sp macro="" textlink="">
      <xdr:nvSpPr>
        <xdr:cNvPr id="34" name="Rounded Rectangle 33"/>
        <xdr:cNvSpPr/>
      </xdr:nvSpPr>
      <xdr:spPr>
        <a:xfrm>
          <a:off x="66412" y="3603624"/>
          <a:ext cx="1682750" cy="19208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xdr:from>
      <xdr:col>0</xdr:col>
      <xdr:colOff>61120</xdr:colOff>
      <xdr:row>0</xdr:row>
      <xdr:rowOff>158750</xdr:rowOff>
    </xdr:from>
    <xdr:to>
      <xdr:col>2</xdr:col>
      <xdr:colOff>537370</xdr:colOff>
      <xdr:row>7</xdr:row>
      <xdr:rowOff>158750</xdr:rowOff>
    </xdr:to>
    <xdr:sp macro="" textlink="">
      <xdr:nvSpPr>
        <xdr:cNvPr id="35" name="Rounded Rectangle 34"/>
        <xdr:cNvSpPr/>
      </xdr:nvSpPr>
      <xdr:spPr>
        <a:xfrm>
          <a:off x="61120" y="158750"/>
          <a:ext cx="1682750" cy="1333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editAs="oneCell">
    <xdr:from>
      <xdr:col>0</xdr:col>
      <xdr:colOff>162983</xdr:colOff>
      <xdr:row>19</xdr:row>
      <xdr:rowOff>180975</xdr:rowOff>
    </xdr:from>
    <xdr:to>
      <xdr:col>2</xdr:col>
      <xdr:colOff>429684</xdr:colOff>
      <xdr:row>28</xdr:row>
      <xdr:rowOff>103717</xdr:rowOff>
    </xdr:to>
    <mc:AlternateContent xmlns:mc="http://schemas.openxmlformats.org/markup-compatibility/2006" xmlns:a14="http://schemas.microsoft.com/office/drawing/2010/main">
      <mc:Choice Requires="a14">
        <xdr:graphicFrame macro="">
          <xdr:nvGraphicFramePr>
            <xdr:cNvPr id="3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2983" y="3800475"/>
              <a:ext cx="1473201" cy="1637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128058</xdr:colOff>
      <xdr:row>30</xdr:row>
      <xdr:rowOff>28575</xdr:rowOff>
    </xdr:from>
    <xdr:to>
      <xdr:col>2</xdr:col>
      <xdr:colOff>490008</xdr:colOff>
      <xdr:row>37</xdr:row>
      <xdr:rowOff>85724</xdr:rowOff>
    </xdr:to>
    <mc:AlternateContent xmlns:mc="http://schemas.openxmlformats.org/markup-compatibility/2006" xmlns:a14="http://schemas.microsoft.com/office/drawing/2010/main">
      <mc:Choice Requires="a14">
        <xdr:graphicFrame macro="">
          <xdr:nvGraphicFramePr>
            <xdr:cNvPr id="37" name="Order Priority"/>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28058" y="5743575"/>
              <a:ext cx="1568450" cy="1390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37041</xdr:colOff>
      <xdr:row>1</xdr:row>
      <xdr:rowOff>174889</xdr:rowOff>
    </xdr:from>
    <xdr:to>
      <xdr:col>2</xdr:col>
      <xdr:colOff>506147</xdr:colOff>
      <xdr:row>3</xdr:row>
      <xdr:rowOff>115358</xdr:rowOff>
    </xdr:to>
    <xdr:sp macro="" textlink="">
      <xdr:nvSpPr>
        <xdr:cNvPr id="38" name="TextBox 37"/>
        <xdr:cNvSpPr txBox="1"/>
      </xdr:nvSpPr>
      <xdr:spPr>
        <a:xfrm>
          <a:off x="37041" y="365389"/>
          <a:ext cx="1675606"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lumMod val="50000"/>
                </a:schemeClr>
              </a:solidFill>
            </a:rPr>
            <a:t>Total Orders</a:t>
          </a:r>
        </a:p>
      </xdr:txBody>
    </xdr:sp>
    <xdr:clientData/>
  </xdr:twoCellAnchor>
  <xdr:twoCellAnchor>
    <xdr:from>
      <xdr:col>0</xdr:col>
      <xdr:colOff>327026</xdr:colOff>
      <xdr:row>3</xdr:row>
      <xdr:rowOff>91017</xdr:rowOff>
    </xdr:from>
    <xdr:to>
      <xdr:col>2</xdr:col>
      <xdr:colOff>60326</xdr:colOff>
      <xdr:row>5</xdr:row>
      <xdr:rowOff>148167</xdr:rowOff>
    </xdr:to>
    <xdr:sp macro="" textlink="Report!M20">
      <xdr:nvSpPr>
        <xdr:cNvPr id="39" name="TextBox 38"/>
        <xdr:cNvSpPr txBox="1"/>
      </xdr:nvSpPr>
      <xdr:spPr>
        <a:xfrm>
          <a:off x="327026" y="662517"/>
          <a:ext cx="9398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EB059A-9299-4EE0-9D51-A0C581D235DF}" type="TxLink">
            <a:rPr lang="en-US" sz="2400" b="1" i="0" u="none" strike="noStrike">
              <a:solidFill>
                <a:srgbClr val="002060"/>
              </a:solidFill>
              <a:latin typeface="Calibri"/>
              <a:ea typeface="+mn-ea"/>
              <a:cs typeface="Calibri"/>
            </a:rPr>
            <a:pPr marL="0" indent="0" algn="ctr"/>
            <a:t>100</a:t>
          </a:fld>
          <a:endParaRPr lang="en-US" sz="2400" b="1" i="0" u="none" strike="noStrike">
            <a:solidFill>
              <a:srgbClr val="002060"/>
            </a:solidFill>
            <a:latin typeface="Calibri"/>
            <a:ea typeface="+mn-ea"/>
            <a:cs typeface="Calibri"/>
          </a:endParaRPr>
        </a:p>
      </xdr:txBody>
    </xdr:sp>
    <xdr:clientData/>
  </xdr:twoCellAnchor>
  <xdr:twoCellAnchor>
    <xdr:from>
      <xdr:col>0</xdr:col>
      <xdr:colOff>70645</xdr:colOff>
      <xdr:row>8</xdr:row>
      <xdr:rowOff>104774</xdr:rowOff>
    </xdr:from>
    <xdr:to>
      <xdr:col>2</xdr:col>
      <xdr:colOff>546895</xdr:colOff>
      <xdr:row>18</xdr:row>
      <xdr:rowOff>63500</xdr:rowOff>
    </xdr:to>
    <xdr:sp macro="" textlink="">
      <xdr:nvSpPr>
        <xdr:cNvPr id="41" name="Rounded Rectangle 40"/>
        <xdr:cNvSpPr/>
      </xdr:nvSpPr>
      <xdr:spPr>
        <a:xfrm>
          <a:off x="70645" y="1628774"/>
          <a:ext cx="1682750" cy="186372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a:p>
          <a:pPr algn="l"/>
          <a:endParaRPr lang="en-US" sz="2400" b="1" baseline="0">
            <a:solidFill>
              <a:srgbClr val="002060"/>
            </a:solidFill>
          </a:endParaRPr>
        </a:p>
      </xdr:txBody>
    </xdr:sp>
    <xdr:clientData/>
  </xdr:twoCellAnchor>
  <xdr:twoCellAnchor editAs="oneCell">
    <xdr:from>
      <xdr:col>0</xdr:col>
      <xdr:colOff>152400</xdr:colOff>
      <xdr:row>9</xdr:row>
      <xdr:rowOff>38100</xdr:rowOff>
    </xdr:from>
    <xdr:to>
      <xdr:col>2</xdr:col>
      <xdr:colOff>438150</xdr:colOff>
      <xdr:row>17</xdr:row>
      <xdr:rowOff>158750</xdr:rowOff>
    </xdr:to>
    <mc:AlternateContent xmlns:mc="http://schemas.openxmlformats.org/markup-compatibility/2006" xmlns:a14="http://schemas.microsoft.com/office/drawing/2010/main">
      <mc:Choice Requires="a14">
        <xdr:graphicFrame macro="">
          <xdr:nvGraphicFramePr>
            <xdr:cNvPr id="42"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52400" y="1752600"/>
              <a:ext cx="1492250" cy="1644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0.04667</cdr:x>
      <cdr:y>0</cdr:y>
    </cdr:from>
    <cdr:to>
      <cdr:x>0.24144</cdr:x>
      <cdr:y>0.35615</cdr:y>
    </cdr:to>
    <cdr:sp macro="" textlink="">
      <cdr:nvSpPr>
        <cdr:cNvPr id="2" name="TextBox 1"/>
        <cdr:cNvSpPr txBox="1"/>
      </cdr:nvSpPr>
      <cdr:spPr>
        <a:xfrm xmlns:a="http://schemas.openxmlformats.org/drawingml/2006/main">
          <a:off x="219096" y="0"/>
          <a:ext cx="914386" cy="91440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600" b="1">
              <a:solidFill>
                <a:srgbClr val="002060"/>
              </a:solidFill>
            </a:rPr>
            <a:t>Total</a:t>
          </a:r>
          <a:r>
            <a:rPr lang="en-US" sz="1600" b="1" baseline="0">
              <a:solidFill>
                <a:srgbClr val="002060"/>
              </a:solidFill>
            </a:rPr>
            <a:t> Revenue by Region</a:t>
          </a:r>
          <a:endParaRPr lang="en-US" sz="1600" b="1">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94.636195833336" createdVersion="5" refreshedVersion="5" minRefreshableVersion="3" recordCount="101">
  <cacheSource type="worksheet">
    <worksheetSource ref="A1:O1048576" sheet="Data"/>
  </cacheSource>
  <cacheFields count="15">
    <cacheField name="Region" numFmtId="0">
      <sharedItems containsBlank="1" count="8">
        <s v="Middle East and North Africa"/>
        <s v="Australia and Oceania"/>
        <s v="Europe"/>
        <s v="Central America and the Caribbean"/>
        <s v="Asia"/>
        <s v="Sub-Saharan Africa"/>
        <s v="North America"/>
        <m/>
      </sharedItems>
    </cacheField>
    <cacheField name="Country" numFmtId="0">
      <sharedItems containsBlank="1" count="77">
        <s v="Pakistan"/>
        <s v="Samoa "/>
        <s v="Iceland"/>
        <s v="Switzerland"/>
        <s v="Honduras"/>
        <s v="Romania"/>
        <s v="Myanmar"/>
        <s v="Azerbaijan"/>
        <s v="Djibouti"/>
        <s v="Sri Lanka"/>
        <s v="Mexico"/>
        <s v="Iran"/>
        <s v="Lithuania"/>
        <s v="Tuvalu"/>
        <s v="Mozambique"/>
        <s v="Brunei"/>
        <s v="Monaco"/>
        <s v="Rwanda"/>
        <s v="Spain"/>
        <s v="Fiji"/>
        <s v="Norway"/>
        <s v="Cameroon"/>
        <s v="Angola"/>
        <s v="Turkmenistan"/>
        <s v="Bangladesh"/>
        <s v="Senegal"/>
        <s v="Lebanon"/>
        <s v="Macedonia"/>
        <s v="Madagascar"/>
        <s v="The Gambia"/>
        <s v="Burkina Faso"/>
        <s v="Bulgaria"/>
        <s v="Austria"/>
        <s v="San Marino"/>
        <s v="Libya"/>
        <s v="Sierra Leone"/>
        <s v="Kenya"/>
        <s v="Belize"/>
        <s v="Australia"/>
        <s v="Saudi Arabia"/>
        <s v="East Timor"/>
        <s v="France"/>
        <s v="Cape Verde"/>
        <s v="Haiti"/>
        <s v="Solomon Islands"/>
        <s v="Cote d'Ivoire"/>
        <s v="Grenada"/>
        <s v="Laos"/>
        <s v="Zambia"/>
        <s v="Russia"/>
        <s v="Gabon"/>
        <s v="Albania"/>
        <s v="Costa Rica"/>
        <s v="Mauritania"/>
        <s v="Republic of the Congo"/>
        <s v="Federated States of Micronesia"/>
        <s v="Sao Tome and Principe"/>
        <s v="Nicaragua"/>
        <s v="Moldova "/>
        <s v="Mongolia"/>
        <s v="Portugal"/>
        <s v="Democratic Republic of the Congo"/>
        <s v="Comoros"/>
        <s v="Niger"/>
        <s v="Slovenia"/>
        <s v="Mali"/>
        <s v="South Sudan"/>
        <s v="United Kingdom"/>
        <s v="Lesotho"/>
        <s v="Malaysia"/>
        <s v="Kiribati"/>
        <s v="Slovakia"/>
        <s v="Syria"/>
        <s v="Kyrgyzstan"/>
        <s v="New Zealand"/>
        <s v="Kuwait"/>
        <m/>
      </sharedItems>
    </cacheField>
    <cacheField name="Item Type" numFmtId="0">
      <sharedItems containsBlank="1" count="13">
        <s v="Cosmetics"/>
        <s v="Household"/>
        <s v="Office Supplies"/>
        <s v="Baby Food"/>
        <s v="Cereal"/>
        <s v="Clothes"/>
        <s v="Vegetables"/>
        <s v="Snacks"/>
        <s v="Meat"/>
        <s v="Personal Care"/>
        <s v="Beverages"/>
        <s v="Fruits"/>
        <m/>
      </sharedItems>
    </cacheField>
    <cacheField name="Sales Channel" numFmtId="0">
      <sharedItems containsBlank="1" count="3">
        <s v="Offline"/>
        <s v="Online"/>
        <m/>
      </sharedItems>
    </cacheField>
    <cacheField name="Order Priority" numFmtId="0">
      <sharedItems containsBlank="1" count="5">
        <s v="L"/>
        <s v="H"/>
        <s v="C"/>
        <s v="M"/>
        <m/>
      </sharedItems>
    </cacheField>
    <cacheField name="Order Date" numFmtId="14">
      <sharedItems containsNonDate="0" containsDate="1" containsString="0" containsBlank="1" minDate="2010-02-02T00:00:00" maxDate="2017-05-23T00:00:00" count="101">
        <d v="2013-07-05T00:00:00"/>
        <d v="2013-07-20T00:00:00"/>
        <d v="2016-12-31T00:00:00"/>
        <d v="2012-09-17T00:00:00"/>
        <d v="2017-02-08T00:00:00"/>
        <d v="2010-11-26T00:00:00"/>
        <d v="2015-01-16T00:00:00"/>
        <d v="2010-02-06T00:00:00"/>
        <d v="2014-04-07T00:00:00"/>
        <d v="2016-11-19T00:00:00"/>
        <d v="2014-11-06T00:00:00"/>
        <d v="2016-11-15T00:00:00"/>
        <d v="2010-10-24T00:00:00"/>
        <d v="2010-05-28T00:00:00"/>
        <d v="2012-02-10T00:00:00"/>
        <d v="2012-04-01T00:00:00"/>
        <d v="2012-05-29T00:00:00"/>
        <d v="2013-10-11T00:00:00"/>
        <d v="2017-05-20T00:00:00"/>
        <d v="2012-10-21T00:00:00"/>
        <d v="2010-06-30T00:00:00"/>
        <d v="2014-05-14T00:00:00"/>
        <d v="2011-11-07T00:00:00"/>
        <d v="2011-04-23T00:00:00"/>
        <d v="2013-02-01T00:00:00"/>
        <d v="2010-12-30T00:00:00"/>
        <d v="2013-04-23T00:00:00"/>
        <d v="2017-01-13T00:00:00"/>
        <d v="2014-04-18T00:00:00"/>
        <d v="2012-09-18T00:00:00"/>
        <d v="2014-10-14T00:00:00"/>
        <d v="2015-04-25T00:00:00"/>
        <d v="2014-02-03T00:00:00"/>
        <d v="2012-07-17T00:00:00"/>
        <d v="2012-02-16T00:00:00"/>
        <d v="2015-02-23T00:00:00"/>
        <d v="2013-06-26T00:00:00"/>
        <d v="2010-10-30T00:00:00"/>
        <d v="2011-11-26T00:00:00"/>
        <d v="2015-11-14T00:00:00"/>
        <d v="2012-03-18T00:00:00"/>
        <d v="2017-02-25T00:00:00"/>
        <d v="2016-07-25T00:00:00"/>
        <d v="2012-05-26T00:00:00"/>
        <d v="2015-10-27T00:00:00"/>
        <d v="2013-03-25T00:00:00"/>
        <d v="2012-07-31T00:00:00"/>
        <d v="2017-05-22T00:00:00"/>
        <d v="2014-08-02T00:00:00"/>
        <d v="2013-10-13T00:00:00"/>
        <d v="2015-02-04T00:00:00"/>
        <d v="2017-01-14T00:00:00"/>
        <d v="2012-06-08T00:00:00"/>
        <d v="2012-06-13T00:00:00"/>
        <d v="2012-08-22T00:00:00"/>
        <d v="2011-09-15T00:00:00"/>
        <d v="2011-04-01T00:00:00"/>
        <d v="2014-05-02T00:00:00"/>
        <d v="2012-07-08T00:00:00"/>
        <d v="2012-06-07T00:00:00"/>
        <d v="2010-02-02T00:00:00"/>
        <d v="2012-02-17T00:00:00"/>
        <d v="2017-05-08T00:00:00"/>
        <d v="2012-01-11T00:00:00"/>
        <d v="2015-07-14T00:00:00"/>
        <d v="2014-07-07T00:00:00"/>
        <d v="2014-10-28T00:00:00"/>
        <d v="2015-07-30T00:00:00"/>
        <d v="2011-01-16T00:00:00"/>
        <d v="2011-02-08T00:00:00"/>
        <d v="2016-05-07T00:00:00"/>
        <d v="2012-04-23T00:00:00"/>
        <d v="2014-02-19T00:00:00"/>
        <d v="2016-06-30T00:00:00"/>
        <d v="2015-07-31T00:00:00"/>
        <d v="2016-12-06T00:00:00"/>
        <d v="2016-06-01T00:00:00"/>
        <d v="2011-05-26T00:00:00"/>
        <d v="2016-03-29T00:00:00"/>
        <d v="2015-04-01T00:00:00"/>
        <d v="2014-07-18T00:00:00"/>
        <d v="2017-03-11T00:00:00"/>
        <d v="2016-10-23T00:00:00"/>
        <d v="2011-07-26T00:00:00"/>
        <d v="2013-06-09T00:00:00"/>
        <d v="2013-12-29T00:00:00"/>
        <d v="2012-01-05T00:00:00"/>
        <d v="2013-08-18T00:00:00"/>
        <d v="2014-06-20T00:00:00"/>
        <d v="2013-09-17T00:00:00"/>
        <d v="2011-11-11T00:00:00"/>
        <d v="2010-05-07T00:00:00"/>
        <d v="2014-10-13T00:00:00"/>
        <d v="2012-10-06T00:00:00"/>
        <d v="2011-11-22T00:00:00"/>
        <d v="2011-06-24T00:00:00"/>
        <d v="2010-12-23T00:00:00"/>
        <d v="2014-09-08T00:00:00"/>
        <d v="2015-08-14T00:00:00"/>
        <d v="2012-04-30T00:00:00"/>
        <m/>
      </sharedItems>
    </cacheField>
    <cacheField name="Order ID" numFmtId="0">
      <sharedItems containsString="0" containsBlank="1" containsNumber="1" containsInteger="1" minValue="114606559" maxValue="994022214" count="101">
        <n v="231145322"/>
        <n v="670854651"/>
        <n v="331438481"/>
        <n v="249693334"/>
        <n v="522840487"/>
        <n v="660643374"/>
        <n v="177713572"/>
        <n v="382392299"/>
        <n v="259353148"/>
        <n v="419123971"/>
        <n v="986435210"/>
        <n v="286959302"/>
        <n v="166460740"/>
        <n v="669165933"/>
        <n v="665095412"/>
        <n v="320009267"/>
        <n v="688288152"/>
        <n v="699358165"/>
        <n v="555990016"/>
        <n v="213487374"/>
        <n v="647876489"/>
        <n v="819028031"/>
        <n v="177636754"/>
        <n v="135425221"/>
        <n v="115456712"/>
        <n v="441619336"/>
        <n v="462405812"/>
        <n v="187310731"/>
        <n v="616607081"/>
        <n v="663110148"/>
        <n v="787399423"/>
        <n v="610425555"/>
        <n v="494747245"/>
        <n v="871543967"/>
        <n v="189965903"/>
        <n v="868214595"/>
        <n v="569662845"/>
        <n v="705784308"/>
        <n v="441888415"/>
        <n v="223359620"/>
        <n v="827844560"/>
        <n v="756274640"/>
        <n v="807025039"/>
        <n v="886494815"/>
        <n v="158535134"/>
        <n v="844530045"/>
        <n v="322067916"/>
        <n v="898523128"/>
        <n v="939825713"/>
        <n v="505716836"/>
        <n v="547995746"/>
        <n v="825304400"/>
        <n v="114606559"/>
        <n v="423331391"/>
        <n v="963881480"/>
        <n v="789176547"/>
        <n v="122583663"/>
        <n v="341417157"/>
        <n v="228944623"/>
        <n v="994022214"/>
        <n v="385383069"/>
        <n v="430915820"/>
        <n v="456767165"/>
        <n v="837559306"/>
        <n v="770463311"/>
        <n v="240470397"/>
        <n v="217221009"/>
        <n v="559427106"/>
        <n v="180283772"/>
        <n v="963392674"/>
        <n v="740147912"/>
        <n v="972292029"/>
        <n v="832401311"/>
        <n v="795490682"/>
        <n v="860673511"/>
        <n v="621386563"/>
        <n v="728815257"/>
        <n v="585920464"/>
        <n v="902102267"/>
        <n v="519820964"/>
        <n v="435608613"/>
        <n v="699285638"/>
        <n v="345718562"/>
        <n v="512878119"/>
        <n v="450563752"/>
        <n v="406502997"/>
        <n v="955357205"/>
        <n v="918419539"/>
        <n v="514321792"/>
        <n v="508980977"/>
        <n v="810711038"/>
        <n v="686048400"/>
        <n v="347140347"/>
        <n v="759224212"/>
        <n v="162052476"/>
        <n v="814711606"/>
        <n v="617667090"/>
        <n v="142278373"/>
        <n v="816200339"/>
        <n v="513417565"/>
        <m/>
      </sharedItems>
    </cacheField>
    <cacheField name="Ship Days" numFmtId="0">
      <sharedItems containsString="0" containsBlank="1" containsNumber="1" containsInteger="1" minValue="0" maxValue="50"/>
    </cacheField>
    <cacheField name="Ship Date" numFmtId="14">
      <sharedItems containsNonDate="0" containsDate="1" containsString="0" containsBlank="1" minDate="2010-02-25T00:00:00" maxDate="2017-06-18T00:00:00"/>
    </cacheField>
    <cacheField name="Units Sold" numFmtId="1">
      <sharedItems containsString="0" containsBlank="1" containsNumber="1" containsInteger="1" minValue="124" maxValue="9925" count="100">
        <n v="9892"/>
        <n v="9654"/>
        <n v="8867"/>
        <n v="8661"/>
        <n v="8974"/>
        <n v="7910"/>
        <n v="8250"/>
        <n v="7234"/>
        <n v="7215"/>
        <n v="6952"/>
        <n v="6954"/>
        <n v="6489"/>
        <n v="8287"/>
        <n v="9925"/>
        <n v="5367"/>
        <n v="6708"/>
        <n v="8614"/>
        <n v="4477"/>
        <n v="8656"/>
        <n v="4513"/>
        <n v="9905"/>
        <n v="7450"/>
        <n v="5518"/>
        <n v="4187"/>
        <n v="5062"/>
        <n v="3830"/>
        <n v="5010"/>
        <n v="8263"/>
        <n v="6593"/>
        <n v="7884"/>
        <n v="7842"/>
        <n v="7342"/>
        <n v="5559"/>
        <n v="8082"/>
        <n v="3987"/>
        <n v="2847"/>
        <n v="4750"/>
        <n v="6116"/>
        <n v="3457"/>
        <n v="5930"/>
        <n v="6457"/>
        <n v="7327"/>
        <n v="5498"/>
        <n v="2370"/>
        <n v="2924"/>
        <n v="4063"/>
        <n v="5908"/>
        <n v="1815"/>
        <n v="4168"/>
        <n v="1705"/>
        <n v="2974"/>
        <n v="4767"/>
        <n v="3482"/>
        <n v="2021"/>
        <n v="2804"/>
        <n v="3732"/>
        <n v="4085"/>
        <n v="1779"/>
        <n v="2117"/>
        <n v="2269"/>
        <n v="6422"/>
        <n v="6409"/>
        <n v="1266"/>
        <n v="6070"/>
        <n v="9389"/>
        <n v="9379"/>
        <n v="5767"/>
        <n v="8829"/>
        <n v="8156"/>
        <n v="5070"/>
        <n v="1673"/>
        <n v="4901"/>
        <n v="2225"/>
        <n v="1273"/>
        <n v="948"/>
        <n v="1485"/>
        <n v="5741"/>
        <n v="962"/>
        <n v="5430"/>
        <n v="5124"/>
        <n v="3015"/>
        <n v="4660"/>
        <n v="888"/>
        <n v="682"/>
        <n v="2125"/>
        <n v="282"/>
        <n v="9606"/>
        <n v="8102"/>
        <n v="7637"/>
        <n v="6267"/>
        <n v="5822"/>
        <n v="5398"/>
        <n v="171"/>
        <n v="3784"/>
        <n v="124"/>
        <n v="273"/>
        <n v="2187"/>
        <n v="673"/>
        <n v="522"/>
        <m/>
      </sharedItems>
    </cacheField>
    <cacheField name="Unit Price" numFmtId="165">
      <sharedItems containsString="0" containsBlank="1" containsNumber="1" minValue="9.33" maxValue="668.27"/>
    </cacheField>
    <cacheField name="Unit Cost" numFmtId="165">
      <sharedItems containsString="0" containsBlank="1" containsNumber="1" minValue="6.92" maxValue="524.96"/>
    </cacheField>
    <cacheField name="Total Revenue" numFmtId="165">
      <sharedItems containsString="0" containsBlank="1" containsNumber="1" minValue="4870.26" maxValue="5997054.9800000004" count="101">
        <n v="4324782.4000000004"/>
        <n v="4220728.8"/>
        <n v="3876652.4"/>
        <n v="3786589.2"/>
        <n v="5997054.9800000004"/>
        <n v="3458252"/>
        <n v="5513227.5"/>
        <n v="3162704.8"/>
        <n v="3154398"/>
        <n v="3039414.4"/>
        <n v="4647149.58"/>
        <n v="2836990.8"/>
        <n v="5396577.2699999996"/>
        <n v="2533654"/>
        <n v="3586605.09"/>
        <n v="4368316.68"/>
        <n v="2198981.92"/>
        <n v="1957344.4"/>
        <n v="1780539.2"/>
        <n v="3015902.51"/>
        <n v="1082418.3999999999"/>
        <n v="1901836"/>
        <n v="3593376.78"/>
        <n v="2798046.49"/>
        <n v="3296425.02"/>
        <n v="2559474.1"/>
        <n v="3262562.1"/>
        <n v="902980.64"/>
        <n v="1356180.1"/>
        <n v="861563.52"/>
        <n v="856973.76"/>
        <n v="802333.76"/>
        <n v="1419101.52"/>
        <n v="1245112.92"/>
        <n v="2596374.27"/>
        <n v="1244708.3999999999"/>
        <n v="1212580"/>
        <n v="668356.48"/>
        <n v="2251232.9700000002"/>
        <n v="648030.4"/>
        <n v="994765.42"/>
        <n v="1117953.6599999999"/>
        <n v="600821.43999999994"/>
        <n v="1583799.9"/>
        <n v="1904138.04"/>
        <n v="835759.1"/>
        <n v="2492526.12"/>
        <n v="793518"/>
        <n v="455479.03999999998"/>
        <n v="745426"/>
        <n v="759202.72"/>
        <n v="2011149.63"/>
        <n v="380512.96"/>
        <n v="1316095.4099999999"/>
        <n v="576782.80000000005"/>
        <n v="574951.92000000004"/>
        <n v="623289.30000000005"/>
        <n v="1158502.5900000001"/>
        <n v="707454.88"/>
        <n v="435466.9"/>
        <n v="247956.32"/>
        <n v="524870.06000000006"/>
        <n v="523807.57"/>
        <n v="824431.86"/>
        <n v="496101.1"/>
        <n v="445508.05"/>
        <n v="445033.55"/>
        <n v="471336.91"/>
        <n v="418936.05"/>
        <n v="387002.2"/>
        <n v="414371.1"/>
        <n v="182825.44"/>
        <n v="400558.73"/>
        <n v="339490.5"/>
        <n v="324971.44"/>
        <n v="617347.07999999996"/>
        <n v="228779.1"/>
        <n v="272410.45"/>
        <n v="197883.4"/>
        <n v="257653.5"/>
        <n v="243133.8"/>
        <n v="246415.95"/>
        <n v="221117"/>
        <n v="97040.639999999999"/>
        <n v="140287.4"/>
        <n v="173676.25"/>
        <n v="188452.14"/>
        <n v="89623.98"/>
        <n v="75591.66"/>
        <n v="71253.210000000006"/>
        <n v="58471.11"/>
        <n v="54319.26"/>
        <n v="50363.34"/>
        <n v="26344.26"/>
        <n v="35304.720000000001"/>
        <n v="19103.439999999999"/>
        <n v="22312.29"/>
        <n v="20404.71"/>
        <n v="6279.09"/>
        <n v="4870.26"/>
        <m/>
      </sharedItems>
    </cacheField>
    <cacheField name="Total Cost" numFmtId="165">
      <sharedItems containsString="0" containsBlank="1" containsNumber="1" minValue="3612.24" maxValue="4509793.96" count="101">
        <n v="2604860.36"/>
        <n v="2542187.8199999998"/>
        <n v="2334947.11"/>
        <n v="2280701.13"/>
        <n v="4509793.96"/>
        <n v="2082940.3"/>
        <n v="4145955"/>
        <n v="1904929.22"/>
        <n v="1899925.95"/>
        <n v="1830670.16"/>
        <n v="3494663.16"/>
        <n v="1708748.37"/>
        <n v="4350343.5199999996"/>
        <n v="1582243.5"/>
        <n v="2697132.18"/>
        <n v="3521431.68"/>
        <n v="1373243.88"/>
        <n v="1178928.4099999999"/>
        <n v="1013704.16"/>
        <n v="2267963.02"/>
        <n v="354995.20000000001"/>
        <n v="1187679"/>
        <n v="2896729.28"/>
        <n v="2104134.98"/>
        <n v="2657347.52"/>
        <n v="1924728.2"/>
        <n v="2630049.6"/>
        <n v="296145.91999999998"/>
        <n v="772106.23"/>
        <n v="282562.56"/>
        <n v="281057.28000000003"/>
        <n v="263137.28000000003"/>
        <n v="886215.78"/>
        <n v="734896.26"/>
        <n v="2093015.52"/>
        <n v="749700.51"/>
        <n v="757245"/>
        <n v="219197.44"/>
        <n v="1814786.72"/>
        <n v="212531.20000000001"/>
        <n v="587135.01"/>
        <n v="713942.88"/>
        <n v="197048.32000000001"/>
        <n v="1191019.8"/>
        <n v="1534983.04"/>
        <n v="475817.93"/>
        <n v="2154588.52"/>
        <n v="477943.95"/>
        <n v="149381.12"/>
        <n v="448977.65"/>
        <n v="474115.08"/>
        <n v="1738477.23"/>
        <n v="124794.88"/>
        <n v="1060944.1599999999"/>
        <n v="328376.44"/>
        <n v="339350.76"/>
        <n v="398042.4"/>
        <n v="933903.84"/>
        <n v="490535.52"/>
        <n v="247921.87"/>
        <n v="81320.960000000006"/>
        <n v="363934.74"/>
        <n v="363198.03"/>
        <n v="664599.36"/>
        <n v="343986.9"/>
        <n v="298476.31"/>
        <n v="298158.40999999997"/>
        <n v="326815.89"/>
        <n v="280673.90999999997"/>
        <n v="259279.24"/>
        <n v="287316.90000000002"/>
        <n v="59960.32"/>
        <n v="277739.67"/>
        <n v="216804"/>
        <n v="202941.66"/>
        <n v="497662.08"/>
        <n v="135031.04999999999"/>
        <n v="182506.39"/>
        <n v="112659.82"/>
        <n v="172619.7"/>
        <n v="162891.96"/>
        <n v="170860.05"/>
        <n v="148141.4"/>
        <n v="31825.919999999998"/>
        <n v="79869.02"/>
        <n v="120423.75"/>
        <n v="141716.28"/>
        <n v="66473.52"/>
        <n v="56065.84"/>
        <n v="52848.04"/>
        <n v="43367.64"/>
        <n v="40288.239999999998"/>
        <n v="37354.160000000003"/>
        <n v="15549.03"/>
        <n v="26185.279999999999"/>
        <n v="11275.32"/>
        <n v="15470.91"/>
        <n v="15134.04"/>
        <n v="4657.16"/>
        <n v="3612.24"/>
        <m/>
      </sharedItems>
    </cacheField>
    <cacheField name="Total Profit" numFmtId="165">
      <sharedItems containsString="0" containsBlank="1" containsNumber="1" minValue="1258.02" maxValue="1719922.04" count="101">
        <n v="1719922.04"/>
        <n v="1678540.98"/>
        <n v="1541705.29"/>
        <n v="1505888.07"/>
        <n v="1487261.02"/>
        <n v="1375311.7"/>
        <n v="1367272.5"/>
        <n v="1257775.58"/>
        <n v="1254472.05"/>
        <n v="1208744.24"/>
        <n v="1152486.42"/>
        <n v="1128242.43"/>
        <n v="1046233.75"/>
        <n v="951410.5"/>
        <n v="889472.91"/>
        <n v="846885"/>
        <n v="825738.04"/>
        <n v="778415.99"/>
        <n v="766835.04"/>
        <n v="747939.49"/>
        <n v="727423.2"/>
        <n v="714157"/>
        <n v="696647.5"/>
        <n v="693911.51"/>
        <n v="639077.5"/>
        <n v="634745.9"/>
        <n v="632512.5"/>
        <n v="606834.72"/>
        <n v="584073.87"/>
        <n v="579000.96"/>
        <n v="575916.48"/>
        <n v="539196.48"/>
        <n v="532885.74"/>
        <n v="510216.66"/>
        <n v="503358.75"/>
        <n v="495007.89"/>
        <n v="455335"/>
        <n v="449159.04"/>
        <n v="436446.25"/>
        <n v="435499.2"/>
        <n v="407630.41"/>
        <n v="404010.78"/>
        <n v="403773.12"/>
        <n v="392780.1"/>
        <n v="369155"/>
        <n v="359941.17"/>
        <n v="337937.6"/>
        <n v="315574.05"/>
        <n v="306097.91999999998"/>
        <n v="296448.34999999998"/>
        <n v="285087.64"/>
        <n v="272672.40000000002"/>
        <n v="255718.08"/>
        <n v="255151.25"/>
        <n v="248406.36"/>
        <n v="235601.16"/>
        <n v="225246.9"/>
        <n v="224598.75"/>
        <n v="216919.36"/>
        <n v="187545.03"/>
        <n v="166635.35999999999"/>
        <n v="160935.32"/>
        <n v="160609.54"/>
        <n v="159832.5"/>
        <n v="152114.20000000001"/>
        <n v="147031.74"/>
        <n v="146875.14000000001"/>
        <n v="144521.01999999999"/>
        <n v="138262.14000000001"/>
        <n v="127722.96"/>
        <n v="127054.2"/>
        <n v="122865.12"/>
        <n v="122819.06"/>
        <n v="122686.5"/>
        <n v="122029.78"/>
        <n v="119685"/>
        <n v="93748.05"/>
        <n v="89904.06"/>
        <n v="85223.58"/>
        <n v="85033.8"/>
        <n v="80241.84"/>
        <n v="75555.899999999994"/>
        <n v="72975.600000000006"/>
        <n v="65214.720000000001"/>
        <n v="60418.38"/>
        <n v="53252.5"/>
        <n v="46735.86"/>
        <n v="23150.46"/>
        <n v="19525.82"/>
        <n v="18405.169999999998"/>
        <n v="15103.47"/>
        <n v="14031.02"/>
        <n v="13009.18"/>
        <n v="10795.23"/>
        <n v="9119.44"/>
        <n v="7828.12"/>
        <n v="6841.38"/>
        <n v="5270.67"/>
        <n v="1621.93"/>
        <n v="1258.02"/>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
  <r>
    <x v="0"/>
    <x v="0"/>
    <x v="0"/>
    <x v="0"/>
    <x v="0"/>
    <x v="0"/>
    <x v="0"/>
    <n v="42"/>
    <d v="2013-08-16T00:00:00"/>
    <x v="0"/>
    <n v="437.2"/>
    <n v="263.33"/>
    <x v="0"/>
    <x v="0"/>
    <x v="0"/>
  </r>
  <r>
    <x v="1"/>
    <x v="1"/>
    <x v="0"/>
    <x v="1"/>
    <x v="1"/>
    <x v="1"/>
    <x v="1"/>
    <n v="18"/>
    <d v="2013-08-07T00:00:00"/>
    <x v="1"/>
    <n v="437.2"/>
    <n v="263.33"/>
    <x v="1"/>
    <x v="1"/>
    <x v="1"/>
  </r>
  <r>
    <x v="2"/>
    <x v="2"/>
    <x v="0"/>
    <x v="1"/>
    <x v="2"/>
    <x v="2"/>
    <x v="2"/>
    <n v="0"/>
    <d v="2016-12-31T00:00:00"/>
    <x v="2"/>
    <n v="437.2"/>
    <n v="263.33"/>
    <x v="2"/>
    <x v="2"/>
    <x v="2"/>
  </r>
  <r>
    <x v="2"/>
    <x v="3"/>
    <x v="0"/>
    <x v="0"/>
    <x v="3"/>
    <x v="3"/>
    <x v="3"/>
    <n v="33"/>
    <d v="2012-10-20T00:00:00"/>
    <x v="3"/>
    <n v="437.2"/>
    <n v="263.33"/>
    <x v="3"/>
    <x v="3"/>
    <x v="3"/>
  </r>
  <r>
    <x v="3"/>
    <x v="4"/>
    <x v="1"/>
    <x v="0"/>
    <x v="1"/>
    <x v="4"/>
    <x v="4"/>
    <n v="5"/>
    <d v="2017-02-13T00:00:00"/>
    <x v="4"/>
    <n v="668.27"/>
    <n v="502.54"/>
    <x v="4"/>
    <x v="4"/>
    <x v="4"/>
  </r>
  <r>
    <x v="2"/>
    <x v="5"/>
    <x v="0"/>
    <x v="1"/>
    <x v="1"/>
    <x v="5"/>
    <x v="5"/>
    <n v="29"/>
    <d v="2010-12-25T00:00:00"/>
    <x v="5"/>
    <n v="437.2"/>
    <n v="263.33"/>
    <x v="5"/>
    <x v="5"/>
    <x v="5"/>
  </r>
  <r>
    <x v="4"/>
    <x v="6"/>
    <x v="1"/>
    <x v="0"/>
    <x v="1"/>
    <x v="6"/>
    <x v="6"/>
    <n v="44"/>
    <d v="2015-03-01T00:00:00"/>
    <x v="6"/>
    <n v="668.27"/>
    <n v="502.54"/>
    <x v="6"/>
    <x v="6"/>
    <x v="6"/>
  </r>
  <r>
    <x v="0"/>
    <x v="7"/>
    <x v="0"/>
    <x v="1"/>
    <x v="3"/>
    <x v="7"/>
    <x v="7"/>
    <n v="19"/>
    <d v="2010-02-25T00:00:00"/>
    <x v="7"/>
    <n v="437.2"/>
    <n v="263.33"/>
    <x v="7"/>
    <x v="7"/>
    <x v="7"/>
  </r>
  <r>
    <x v="5"/>
    <x v="8"/>
    <x v="0"/>
    <x v="0"/>
    <x v="1"/>
    <x v="8"/>
    <x v="8"/>
    <n v="12"/>
    <d v="2014-04-19T00:00:00"/>
    <x v="8"/>
    <n v="437.2"/>
    <n v="263.33"/>
    <x v="8"/>
    <x v="8"/>
    <x v="8"/>
  </r>
  <r>
    <x v="4"/>
    <x v="9"/>
    <x v="0"/>
    <x v="0"/>
    <x v="3"/>
    <x v="9"/>
    <x v="9"/>
    <n v="29"/>
    <d v="2016-12-18T00:00:00"/>
    <x v="9"/>
    <n v="437.2"/>
    <n v="263.33"/>
    <x v="9"/>
    <x v="9"/>
    <x v="9"/>
  </r>
  <r>
    <x v="6"/>
    <x v="10"/>
    <x v="1"/>
    <x v="0"/>
    <x v="2"/>
    <x v="10"/>
    <x v="10"/>
    <n v="36"/>
    <d v="2014-12-12T00:00:00"/>
    <x v="10"/>
    <n v="668.27"/>
    <n v="502.54"/>
    <x v="10"/>
    <x v="10"/>
    <x v="10"/>
  </r>
  <r>
    <x v="0"/>
    <x v="11"/>
    <x v="0"/>
    <x v="1"/>
    <x v="1"/>
    <x v="11"/>
    <x v="11"/>
    <n v="23"/>
    <d v="2016-12-08T00:00:00"/>
    <x v="11"/>
    <n v="437.2"/>
    <n v="263.33"/>
    <x v="11"/>
    <x v="11"/>
    <x v="11"/>
  </r>
  <r>
    <x v="2"/>
    <x v="12"/>
    <x v="2"/>
    <x v="0"/>
    <x v="1"/>
    <x v="12"/>
    <x v="12"/>
    <n v="24"/>
    <d v="2010-11-17T00:00:00"/>
    <x v="12"/>
    <n v="651.21"/>
    <n v="524.96"/>
    <x v="12"/>
    <x v="12"/>
    <x v="12"/>
  </r>
  <r>
    <x v="1"/>
    <x v="13"/>
    <x v="3"/>
    <x v="0"/>
    <x v="1"/>
    <x v="13"/>
    <x v="13"/>
    <n v="30"/>
    <d v="2010-06-27T00:00:00"/>
    <x v="13"/>
    <n v="255.28"/>
    <n v="159.41999999999999"/>
    <x v="13"/>
    <x v="13"/>
    <x v="13"/>
  </r>
  <r>
    <x v="5"/>
    <x v="14"/>
    <x v="1"/>
    <x v="0"/>
    <x v="0"/>
    <x v="14"/>
    <x v="14"/>
    <n v="5"/>
    <d v="2012-02-15T00:00:00"/>
    <x v="14"/>
    <n v="668.27"/>
    <n v="502.54"/>
    <x v="14"/>
    <x v="14"/>
    <x v="14"/>
  </r>
  <r>
    <x v="4"/>
    <x v="15"/>
    <x v="2"/>
    <x v="1"/>
    <x v="0"/>
    <x v="15"/>
    <x v="15"/>
    <n v="37"/>
    <d v="2012-05-08T00:00:00"/>
    <x v="15"/>
    <n v="651.21"/>
    <n v="524.96"/>
    <x v="15"/>
    <x v="15"/>
    <x v="15"/>
  </r>
  <r>
    <x v="2"/>
    <x v="16"/>
    <x v="3"/>
    <x v="0"/>
    <x v="1"/>
    <x v="16"/>
    <x v="16"/>
    <n v="4"/>
    <d v="2012-06-02T00:00:00"/>
    <x v="16"/>
    <n v="255.28"/>
    <n v="159.41999999999999"/>
    <x v="16"/>
    <x v="16"/>
    <x v="16"/>
  </r>
  <r>
    <x v="5"/>
    <x v="17"/>
    <x v="0"/>
    <x v="0"/>
    <x v="1"/>
    <x v="17"/>
    <x v="17"/>
    <n v="45"/>
    <d v="2013-11-25T00:00:00"/>
    <x v="17"/>
    <n v="437.2"/>
    <n v="263.33"/>
    <x v="17"/>
    <x v="17"/>
    <x v="17"/>
  </r>
  <r>
    <x v="5"/>
    <x v="8"/>
    <x v="4"/>
    <x v="1"/>
    <x v="1"/>
    <x v="18"/>
    <x v="18"/>
    <n v="28"/>
    <d v="2017-06-17T00:00:00"/>
    <x v="18"/>
    <n v="205.7"/>
    <n v="117.11"/>
    <x v="18"/>
    <x v="18"/>
    <x v="18"/>
  </r>
  <r>
    <x v="2"/>
    <x v="18"/>
    <x v="1"/>
    <x v="0"/>
    <x v="0"/>
    <x v="19"/>
    <x v="19"/>
    <n v="40"/>
    <d v="2012-11-30T00:00:00"/>
    <x v="19"/>
    <n v="668.27"/>
    <n v="502.54"/>
    <x v="19"/>
    <x v="19"/>
    <x v="19"/>
  </r>
  <r>
    <x v="1"/>
    <x v="19"/>
    <x v="5"/>
    <x v="0"/>
    <x v="2"/>
    <x v="20"/>
    <x v="20"/>
    <n v="32"/>
    <d v="2010-08-01T00:00:00"/>
    <x v="20"/>
    <n v="109.28"/>
    <n v="35.840000000000003"/>
    <x v="20"/>
    <x v="20"/>
    <x v="20"/>
  </r>
  <r>
    <x v="2"/>
    <x v="20"/>
    <x v="3"/>
    <x v="1"/>
    <x v="0"/>
    <x v="21"/>
    <x v="21"/>
    <n v="45"/>
    <d v="2014-06-28T00:00:00"/>
    <x v="21"/>
    <n v="255.28"/>
    <n v="159.41999999999999"/>
    <x v="21"/>
    <x v="21"/>
    <x v="21"/>
  </r>
  <r>
    <x v="5"/>
    <x v="21"/>
    <x v="2"/>
    <x v="1"/>
    <x v="3"/>
    <x v="22"/>
    <x v="22"/>
    <n v="8"/>
    <d v="2011-11-15T00:00:00"/>
    <x v="22"/>
    <n v="651.21"/>
    <n v="524.96"/>
    <x v="22"/>
    <x v="22"/>
    <x v="22"/>
  </r>
  <r>
    <x v="5"/>
    <x v="22"/>
    <x v="1"/>
    <x v="0"/>
    <x v="3"/>
    <x v="23"/>
    <x v="23"/>
    <n v="4"/>
    <d v="2011-04-27T00:00:00"/>
    <x v="23"/>
    <n v="668.27"/>
    <n v="502.54"/>
    <x v="23"/>
    <x v="23"/>
    <x v="23"/>
  </r>
  <r>
    <x v="5"/>
    <x v="17"/>
    <x v="2"/>
    <x v="0"/>
    <x v="0"/>
    <x v="24"/>
    <x v="24"/>
    <n v="5"/>
    <d v="2013-02-06T00:00:00"/>
    <x v="24"/>
    <n v="651.21"/>
    <n v="524.96"/>
    <x v="24"/>
    <x v="24"/>
    <x v="24"/>
  </r>
  <r>
    <x v="4"/>
    <x v="23"/>
    <x v="1"/>
    <x v="0"/>
    <x v="0"/>
    <x v="25"/>
    <x v="25"/>
    <n v="21"/>
    <d v="2011-01-20T00:00:00"/>
    <x v="25"/>
    <n v="668.27"/>
    <n v="502.54"/>
    <x v="25"/>
    <x v="25"/>
    <x v="25"/>
  </r>
  <r>
    <x v="4"/>
    <x v="23"/>
    <x v="2"/>
    <x v="1"/>
    <x v="3"/>
    <x v="26"/>
    <x v="26"/>
    <n v="27"/>
    <d v="2013-05-20T00:00:00"/>
    <x v="26"/>
    <n v="651.21"/>
    <n v="524.96"/>
    <x v="26"/>
    <x v="26"/>
    <x v="26"/>
  </r>
  <r>
    <x v="4"/>
    <x v="24"/>
    <x v="5"/>
    <x v="1"/>
    <x v="0"/>
    <x v="27"/>
    <x v="27"/>
    <n v="47"/>
    <d v="2017-03-01T00:00:00"/>
    <x v="27"/>
    <n v="109.28"/>
    <n v="35.840000000000003"/>
    <x v="27"/>
    <x v="27"/>
    <x v="27"/>
  </r>
  <r>
    <x v="5"/>
    <x v="25"/>
    <x v="4"/>
    <x v="1"/>
    <x v="1"/>
    <x v="28"/>
    <x v="28"/>
    <n v="42"/>
    <d v="2014-05-30T00:00:00"/>
    <x v="28"/>
    <n v="205.7"/>
    <n v="117.11"/>
    <x v="28"/>
    <x v="28"/>
    <x v="28"/>
  </r>
  <r>
    <x v="0"/>
    <x v="26"/>
    <x v="5"/>
    <x v="1"/>
    <x v="0"/>
    <x v="29"/>
    <x v="29"/>
    <n v="20"/>
    <d v="2012-10-08T00:00:00"/>
    <x v="29"/>
    <n v="109.28"/>
    <n v="35.840000000000003"/>
    <x v="29"/>
    <x v="29"/>
    <x v="29"/>
  </r>
  <r>
    <x v="2"/>
    <x v="27"/>
    <x v="5"/>
    <x v="0"/>
    <x v="2"/>
    <x v="30"/>
    <x v="30"/>
    <n v="31"/>
    <d v="2014-11-14T00:00:00"/>
    <x v="30"/>
    <n v="109.28"/>
    <n v="35.840000000000003"/>
    <x v="30"/>
    <x v="30"/>
    <x v="30"/>
  </r>
  <r>
    <x v="5"/>
    <x v="28"/>
    <x v="5"/>
    <x v="0"/>
    <x v="0"/>
    <x v="31"/>
    <x v="31"/>
    <n v="33"/>
    <d v="2015-05-28T00:00:00"/>
    <x v="31"/>
    <n v="109.28"/>
    <n v="35.840000000000003"/>
    <x v="31"/>
    <x v="31"/>
    <x v="31"/>
  </r>
  <r>
    <x v="5"/>
    <x v="29"/>
    <x v="3"/>
    <x v="0"/>
    <x v="3"/>
    <x v="32"/>
    <x v="32"/>
    <n v="45"/>
    <d v="2014-03-20T00:00:00"/>
    <x v="32"/>
    <n v="255.28"/>
    <n v="159.41999999999999"/>
    <x v="32"/>
    <x v="32"/>
    <x v="32"/>
  </r>
  <r>
    <x v="5"/>
    <x v="30"/>
    <x v="6"/>
    <x v="1"/>
    <x v="1"/>
    <x v="33"/>
    <x v="33"/>
    <n v="10"/>
    <d v="2012-07-27T00:00:00"/>
    <x v="33"/>
    <n v="154.06"/>
    <n v="90.93"/>
    <x v="33"/>
    <x v="33"/>
    <x v="33"/>
  </r>
  <r>
    <x v="2"/>
    <x v="31"/>
    <x v="2"/>
    <x v="1"/>
    <x v="3"/>
    <x v="34"/>
    <x v="34"/>
    <n v="12"/>
    <d v="2012-02-28T00:00:00"/>
    <x v="34"/>
    <n v="651.21"/>
    <n v="524.96"/>
    <x v="34"/>
    <x v="34"/>
    <x v="34"/>
  </r>
  <r>
    <x v="2"/>
    <x v="32"/>
    <x v="0"/>
    <x v="0"/>
    <x v="1"/>
    <x v="35"/>
    <x v="35"/>
    <n v="7"/>
    <d v="2015-03-02T00:00:00"/>
    <x v="35"/>
    <n v="437.2"/>
    <n v="263.33"/>
    <x v="35"/>
    <x v="35"/>
    <x v="35"/>
  </r>
  <r>
    <x v="2"/>
    <x v="33"/>
    <x v="3"/>
    <x v="1"/>
    <x v="0"/>
    <x v="36"/>
    <x v="36"/>
    <n v="5"/>
    <d v="2013-07-01T00:00:00"/>
    <x v="36"/>
    <n v="255.28"/>
    <n v="159.41999999999999"/>
    <x v="36"/>
    <x v="36"/>
    <x v="36"/>
  </r>
  <r>
    <x v="0"/>
    <x v="34"/>
    <x v="5"/>
    <x v="0"/>
    <x v="1"/>
    <x v="37"/>
    <x v="37"/>
    <n v="18"/>
    <d v="2010-11-17T00:00:00"/>
    <x v="37"/>
    <n v="109.28"/>
    <n v="35.840000000000003"/>
    <x v="37"/>
    <x v="37"/>
    <x v="37"/>
  </r>
  <r>
    <x v="5"/>
    <x v="35"/>
    <x v="2"/>
    <x v="0"/>
    <x v="3"/>
    <x v="38"/>
    <x v="38"/>
    <n v="42"/>
    <d v="2012-01-07T00:00:00"/>
    <x v="38"/>
    <n v="651.21"/>
    <n v="524.96"/>
    <x v="38"/>
    <x v="38"/>
    <x v="38"/>
  </r>
  <r>
    <x v="4"/>
    <x v="6"/>
    <x v="5"/>
    <x v="1"/>
    <x v="1"/>
    <x v="39"/>
    <x v="39"/>
    <n v="4"/>
    <d v="2015-11-18T00:00:00"/>
    <x v="39"/>
    <n v="109.28"/>
    <n v="35.840000000000003"/>
    <x v="39"/>
    <x v="39"/>
    <x v="39"/>
  </r>
  <r>
    <x v="5"/>
    <x v="36"/>
    <x v="6"/>
    <x v="1"/>
    <x v="0"/>
    <x v="40"/>
    <x v="40"/>
    <n v="20"/>
    <d v="2012-04-07T00:00:00"/>
    <x v="40"/>
    <n v="154.06"/>
    <n v="90.93"/>
    <x v="40"/>
    <x v="40"/>
    <x v="40"/>
  </r>
  <r>
    <x v="5"/>
    <x v="8"/>
    <x v="7"/>
    <x v="1"/>
    <x v="3"/>
    <x v="41"/>
    <x v="41"/>
    <n v="0"/>
    <d v="2017-02-25T00:00:00"/>
    <x v="41"/>
    <n v="152.58000000000001"/>
    <n v="97.44"/>
    <x v="41"/>
    <x v="41"/>
    <x v="41"/>
  </r>
  <r>
    <x v="3"/>
    <x v="37"/>
    <x v="5"/>
    <x v="0"/>
    <x v="3"/>
    <x v="42"/>
    <x v="42"/>
    <n v="44"/>
    <d v="2016-09-07T00:00:00"/>
    <x v="42"/>
    <n v="109.28"/>
    <n v="35.840000000000003"/>
    <x v="42"/>
    <x v="42"/>
    <x v="42"/>
  </r>
  <r>
    <x v="5"/>
    <x v="29"/>
    <x v="1"/>
    <x v="0"/>
    <x v="0"/>
    <x v="43"/>
    <x v="43"/>
    <n v="14"/>
    <d v="2012-06-09T00:00:00"/>
    <x v="43"/>
    <n v="668.27"/>
    <n v="502.54"/>
    <x v="43"/>
    <x v="43"/>
    <x v="43"/>
  </r>
  <r>
    <x v="1"/>
    <x v="38"/>
    <x v="2"/>
    <x v="1"/>
    <x v="2"/>
    <x v="44"/>
    <x v="44"/>
    <n v="29"/>
    <d v="2015-11-25T00:00:00"/>
    <x v="44"/>
    <n v="651.21"/>
    <n v="524.96"/>
    <x v="44"/>
    <x v="44"/>
    <x v="44"/>
  </r>
  <r>
    <x v="0"/>
    <x v="39"/>
    <x v="4"/>
    <x v="1"/>
    <x v="3"/>
    <x v="45"/>
    <x v="45"/>
    <n v="3"/>
    <d v="2013-03-28T00:00:00"/>
    <x v="45"/>
    <n v="205.7"/>
    <n v="117.11"/>
    <x v="45"/>
    <x v="45"/>
    <x v="45"/>
  </r>
  <r>
    <x v="1"/>
    <x v="40"/>
    <x v="8"/>
    <x v="1"/>
    <x v="0"/>
    <x v="46"/>
    <x v="46"/>
    <n v="42"/>
    <d v="2012-09-11T00:00:00"/>
    <x v="46"/>
    <n v="421.89"/>
    <n v="364.69"/>
    <x v="46"/>
    <x v="46"/>
    <x v="46"/>
  </r>
  <r>
    <x v="2"/>
    <x v="41"/>
    <x v="0"/>
    <x v="1"/>
    <x v="1"/>
    <x v="47"/>
    <x v="47"/>
    <n v="14"/>
    <d v="2017-06-05T00:00:00"/>
    <x v="47"/>
    <n v="437.2"/>
    <n v="263.33"/>
    <x v="47"/>
    <x v="47"/>
    <x v="47"/>
  </r>
  <r>
    <x v="5"/>
    <x v="42"/>
    <x v="5"/>
    <x v="0"/>
    <x v="1"/>
    <x v="48"/>
    <x v="48"/>
    <n v="17"/>
    <d v="2014-08-19T00:00:00"/>
    <x v="48"/>
    <n v="109.28"/>
    <n v="35.840000000000003"/>
    <x v="48"/>
    <x v="48"/>
    <x v="48"/>
  </r>
  <r>
    <x v="3"/>
    <x v="43"/>
    <x v="0"/>
    <x v="0"/>
    <x v="1"/>
    <x v="49"/>
    <x v="49"/>
    <n v="34"/>
    <d v="2013-11-16T00:00:00"/>
    <x v="49"/>
    <n v="437.2"/>
    <n v="263.33"/>
    <x v="49"/>
    <x v="49"/>
    <x v="49"/>
  </r>
  <r>
    <x v="1"/>
    <x v="44"/>
    <x v="3"/>
    <x v="1"/>
    <x v="2"/>
    <x v="50"/>
    <x v="50"/>
    <n v="17"/>
    <d v="2015-02-21T00:00:00"/>
    <x v="50"/>
    <n v="255.28"/>
    <n v="159.41999999999999"/>
    <x v="50"/>
    <x v="50"/>
    <x v="50"/>
  </r>
  <r>
    <x v="5"/>
    <x v="29"/>
    <x v="8"/>
    <x v="1"/>
    <x v="3"/>
    <x v="51"/>
    <x v="51"/>
    <n v="9"/>
    <d v="2017-01-23T00:00:00"/>
    <x v="51"/>
    <n v="421.89"/>
    <n v="364.69"/>
    <x v="51"/>
    <x v="51"/>
    <x v="51"/>
  </r>
  <r>
    <x v="5"/>
    <x v="45"/>
    <x v="5"/>
    <x v="1"/>
    <x v="2"/>
    <x v="52"/>
    <x v="52"/>
    <n v="19"/>
    <d v="2012-06-27T00:00:00"/>
    <x v="52"/>
    <n v="109.28"/>
    <n v="35.840000000000003"/>
    <x v="52"/>
    <x v="52"/>
    <x v="52"/>
  </r>
  <r>
    <x v="0"/>
    <x v="7"/>
    <x v="2"/>
    <x v="1"/>
    <x v="3"/>
    <x v="53"/>
    <x v="53"/>
    <n v="41"/>
    <d v="2012-07-24T00:00:00"/>
    <x v="53"/>
    <n v="651.21"/>
    <n v="524.96"/>
    <x v="53"/>
    <x v="53"/>
    <x v="53"/>
  </r>
  <r>
    <x v="3"/>
    <x v="46"/>
    <x v="4"/>
    <x v="1"/>
    <x v="2"/>
    <x v="54"/>
    <x v="54"/>
    <n v="24"/>
    <d v="2012-09-15T00:00:00"/>
    <x v="54"/>
    <n v="205.7"/>
    <n v="117.11"/>
    <x v="54"/>
    <x v="54"/>
    <x v="54"/>
  </r>
  <r>
    <x v="4"/>
    <x v="47"/>
    <x v="6"/>
    <x v="0"/>
    <x v="2"/>
    <x v="55"/>
    <x v="55"/>
    <n v="38"/>
    <d v="2011-10-23T00:00:00"/>
    <x v="55"/>
    <n v="154.06"/>
    <n v="90.93"/>
    <x v="55"/>
    <x v="55"/>
    <x v="55"/>
  </r>
  <r>
    <x v="5"/>
    <x v="48"/>
    <x v="7"/>
    <x v="1"/>
    <x v="0"/>
    <x v="56"/>
    <x v="56"/>
    <n v="30"/>
    <d v="2011-05-01T00:00:00"/>
    <x v="56"/>
    <n v="152.58000000000001"/>
    <n v="97.44"/>
    <x v="56"/>
    <x v="56"/>
    <x v="56"/>
  </r>
  <r>
    <x v="2"/>
    <x v="49"/>
    <x v="2"/>
    <x v="0"/>
    <x v="0"/>
    <x v="57"/>
    <x v="57"/>
    <n v="6"/>
    <d v="2014-05-08T00:00:00"/>
    <x v="57"/>
    <n v="651.21"/>
    <n v="524.96"/>
    <x v="57"/>
    <x v="57"/>
    <x v="57"/>
  </r>
  <r>
    <x v="5"/>
    <x v="50"/>
    <x v="9"/>
    <x v="0"/>
    <x v="0"/>
    <x v="58"/>
    <x v="58"/>
    <n v="1"/>
    <d v="2012-07-09T00:00:00"/>
    <x v="18"/>
    <n v="81.73"/>
    <n v="56.67"/>
    <x v="58"/>
    <x v="58"/>
    <x v="58"/>
  </r>
  <r>
    <x v="5"/>
    <x v="29"/>
    <x v="4"/>
    <x v="0"/>
    <x v="1"/>
    <x v="59"/>
    <x v="59"/>
    <n v="1"/>
    <d v="2012-06-08T00:00:00"/>
    <x v="58"/>
    <n v="205.7"/>
    <n v="117.11"/>
    <x v="59"/>
    <x v="59"/>
    <x v="59"/>
  </r>
  <r>
    <x v="2"/>
    <x v="51"/>
    <x v="5"/>
    <x v="1"/>
    <x v="2"/>
    <x v="60"/>
    <x v="60"/>
    <n v="44"/>
    <d v="2010-03-18T00:00:00"/>
    <x v="59"/>
    <n v="109.28"/>
    <n v="35.840000000000003"/>
    <x v="60"/>
    <x v="60"/>
    <x v="60"/>
  </r>
  <r>
    <x v="6"/>
    <x v="10"/>
    <x v="9"/>
    <x v="0"/>
    <x v="0"/>
    <x v="61"/>
    <x v="61"/>
    <n v="32"/>
    <d v="2012-03-20T00:00:00"/>
    <x v="60"/>
    <n v="81.73"/>
    <n v="56.67"/>
    <x v="61"/>
    <x v="61"/>
    <x v="61"/>
  </r>
  <r>
    <x v="3"/>
    <x v="52"/>
    <x v="9"/>
    <x v="0"/>
    <x v="0"/>
    <x v="62"/>
    <x v="62"/>
    <n v="13"/>
    <d v="2017-05-21T00:00:00"/>
    <x v="61"/>
    <n v="81.73"/>
    <n v="56.67"/>
    <x v="62"/>
    <x v="62"/>
    <x v="62"/>
  </r>
  <r>
    <x v="5"/>
    <x v="53"/>
    <x v="2"/>
    <x v="0"/>
    <x v="2"/>
    <x v="63"/>
    <x v="63"/>
    <n v="2"/>
    <d v="2012-01-13T00:00:00"/>
    <x v="62"/>
    <n v="651.21"/>
    <n v="524.96"/>
    <x v="63"/>
    <x v="63"/>
    <x v="63"/>
  </r>
  <r>
    <x v="5"/>
    <x v="54"/>
    <x v="9"/>
    <x v="0"/>
    <x v="3"/>
    <x v="64"/>
    <x v="64"/>
    <n v="42"/>
    <d v="2015-08-25T00:00:00"/>
    <x v="63"/>
    <n v="81.73"/>
    <n v="56.67"/>
    <x v="64"/>
    <x v="64"/>
    <x v="64"/>
  </r>
  <r>
    <x v="1"/>
    <x v="38"/>
    <x v="10"/>
    <x v="0"/>
    <x v="1"/>
    <x v="65"/>
    <x v="65"/>
    <n v="4"/>
    <d v="2014-07-11T00:00:00"/>
    <x v="64"/>
    <n v="47.45"/>
    <n v="31.79"/>
    <x v="65"/>
    <x v="65"/>
    <x v="65"/>
  </r>
  <r>
    <x v="1"/>
    <x v="55"/>
    <x v="10"/>
    <x v="1"/>
    <x v="2"/>
    <x v="66"/>
    <x v="66"/>
    <n v="18"/>
    <d v="2014-11-15T00:00:00"/>
    <x v="65"/>
    <n v="47.45"/>
    <n v="31.79"/>
    <x v="66"/>
    <x v="66"/>
    <x v="66"/>
  </r>
  <r>
    <x v="6"/>
    <x v="10"/>
    <x v="9"/>
    <x v="0"/>
    <x v="3"/>
    <x v="67"/>
    <x v="67"/>
    <n v="9"/>
    <d v="2015-08-08T00:00:00"/>
    <x v="66"/>
    <n v="81.73"/>
    <n v="56.67"/>
    <x v="67"/>
    <x v="67"/>
    <x v="67"/>
  </r>
  <r>
    <x v="5"/>
    <x v="56"/>
    <x v="10"/>
    <x v="0"/>
    <x v="2"/>
    <x v="68"/>
    <x v="68"/>
    <n v="5"/>
    <d v="2011-01-21T00:00:00"/>
    <x v="67"/>
    <n v="47.45"/>
    <n v="31.79"/>
    <x v="68"/>
    <x v="68"/>
    <x v="68"/>
  </r>
  <r>
    <x v="3"/>
    <x v="57"/>
    <x v="10"/>
    <x v="0"/>
    <x v="2"/>
    <x v="69"/>
    <x v="69"/>
    <n v="41"/>
    <d v="2011-03-21T00:00:00"/>
    <x v="68"/>
    <n v="47.45"/>
    <n v="31.79"/>
    <x v="69"/>
    <x v="69"/>
    <x v="69"/>
  </r>
  <r>
    <x v="2"/>
    <x v="58"/>
    <x v="9"/>
    <x v="1"/>
    <x v="0"/>
    <x v="70"/>
    <x v="70"/>
    <n v="3"/>
    <d v="2016-05-10T00:00:00"/>
    <x v="69"/>
    <n v="81.73"/>
    <n v="56.67"/>
    <x v="70"/>
    <x v="70"/>
    <x v="70"/>
  </r>
  <r>
    <x v="2"/>
    <x v="31"/>
    <x v="5"/>
    <x v="1"/>
    <x v="3"/>
    <x v="71"/>
    <x v="71"/>
    <n v="41"/>
    <d v="2012-06-03T00:00:00"/>
    <x v="70"/>
    <n v="109.28"/>
    <n v="35.840000000000003"/>
    <x v="71"/>
    <x v="71"/>
    <x v="71"/>
  </r>
  <r>
    <x v="4"/>
    <x v="59"/>
    <x v="9"/>
    <x v="0"/>
    <x v="2"/>
    <x v="72"/>
    <x v="72"/>
    <n v="4"/>
    <d v="2014-02-23T00:00:00"/>
    <x v="71"/>
    <n v="81.73"/>
    <n v="56.67"/>
    <x v="72"/>
    <x v="72"/>
    <x v="72"/>
  </r>
  <r>
    <x v="3"/>
    <x v="4"/>
    <x v="7"/>
    <x v="1"/>
    <x v="0"/>
    <x v="73"/>
    <x v="73"/>
    <n v="26"/>
    <d v="2016-07-26T00:00:00"/>
    <x v="72"/>
    <n v="152.58000000000001"/>
    <n v="97.44"/>
    <x v="73"/>
    <x v="73"/>
    <x v="73"/>
  </r>
  <r>
    <x v="2"/>
    <x v="60"/>
    <x v="3"/>
    <x v="1"/>
    <x v="1"/>
    <x v="74"/>
    <x v="74"/>
    <n v="34"/>
    <d v="2015-09-03T00:00:00"/>
    <x v="73"/>
    <n v="255.28"/>
    <n v="159.41999999999999"/>
    <x v="74"/>
    <x v="74"/>
    <x v="74"/>
  </r>
  <r>
    <x v="5"/>
    <x v="35"/>
    <x v="2"/>
    <x v="0"/>
    <x v="1"/>
    <x v="75"/>
    <x v="75"/>
    <n v="8"/>
    <d v="2016-12-14T00:00:00"/>
    <x v="74"/>
    <n v="651.21"/>
    <n v="524.96"/>
    <x v="75"/>
    <x v="75"/>
    <x v="75"/>
  </r>
  <r>
    <x v="5"/>
    <x v="35"/>
    <x v="6"/>
    <x v="0"/>
    <x v="2"/>
    <x v="76"/>
    <x v="76"/>
    <n v="28"/>
    <d v="2016-06-29T00:00:00"/>
    <x v="75"/>
    <n v="154.06"/>
    <n v="90.93"/>
    <x v="76"/>
    <x v="76"/>
    <x v="76"/>
  </r>
  <r>
    <x v="5"/>
    <x v="61"/>
    <x v="10"/>
    <x v="1"/>
    <x v="2"/>
    <x v="77"/>
    <x v="77"/>
    <n v="50"/>
    <d v="2011-07-15T00:00:00"/>
    <x v="76"/>
    <n v="47.45"/>
    <n v="31.79"/>
    <x v="77"/>
    <x v="77"/>
    <x v="77"/>
  </r>
  <r>
    <x v="5"/>
    <x v="62"/>
    <x v="4"/>
    <x v="0"/>
    <x v="1"/>
    <x v="78"/>
    <x v="78"/>
    <n v="31"/>
    <d v="2016-04-29T00:00:00"/>
    <x v="77"/>
    <n v="205.7"/>
    <n v="117.11"/>
    <x v="78"/>
    <x v="78"/>
    <x v="78"/>
  </r>
  <r>
    <x v="5"/>
    <x v="21"/>
    <x v="10"/>
    <x v="0"/>
    <x v="2"/>
    <x v="79"/>
    <x v="79"/>
    <n v="17"/>
    <d v="2015-04-18T00:00:00"/>
    <x v="78"/>
    <n v="47.45"/>
    <n v="31.79"/>
    <x v="79"/>
    <x v="79"/>
    <x v="79"/>
  </r>
  <r>
    <x v="2"/>
    <x v="20"/>
    <x v="10"/>
    <x v="0"/>
    <x v="2"/>
    <x v="80"/>
    <x v="80"/>
    <n v="12"/>
    <d v="2014-07-30T00:00:00"/>
    <x v="79"/>
    <n v="47.45"/>
    <n v="31.79"/>
    <x v="80"/>
    <x v="80"/>
    <x v="80"/>
  </r>
  <r>
    <x v="5"/>
    <x v="63"/>
    <x v="9"/>
    <x v="1"/>
    <x v="1"/>
    <x v="81"/>
    <x v="81"/>
    <n v="17"/>
    <d v="2017-03-28T00:00:00"/>
    <x v="80"/>
    <n v="81.73"/>
    <n v="56.67"/>
    <x v="81"/>
    <x v="81"/>
    <x v="81"/>
  </r>
  <r>
    <x v="2"/>
    <x v="64"/>
    <x v="10"/>
    <x v="0"/>
    <x v="2"/>
    <x v="82"/>
    <x v="82"/>
    <n v="33"/>
    <d v="2016-11-25T00:00:00"/>
    <x v="81"/>
    <n v="47.45"/>
    <n v="31.79"/>
    <x v="82"/>
    <x v="82"/>
    <x v="82"/>
  </r>
  <r>
    <x v="5"/>
    <x v="65"/>
    <x v="5"/>
    <x v="1"/>
    <x v="3"/>
    <x v="83"/>
    <x v="83"/>
    <n v="39"/>
    <d v="2011-09-03T00:00:00"/>
    <x v="82"/>
    <n v="109.28"/>
    <n v="35.840000000000003"/>
    <x v="83"/>
    <x v="83"/>
    <x v="83"/>
  </r>
  <r>
    <x v="1"/>
    <x v="38"/>
    <x v="4"/>
    <x v="0"/>
    <x v="1"/>
    <x v="84"/>
    <x v="84"/>
    <n v="23"/>
    <d v="2013-07-02T00:00:00"/>
    <x v="83"/>
    <n v="205.7"/>
    <n v="117.11"/>
    <x v="84"/>
    <x v="84"/>
    <x v="84"/>
  </r>
  <r>
    <x v="5"/>
    <x v="66"/>
    <x v="9"/>
    <x v="0"/>
    <x v="2"/>
    <x v="85"/>
    <x v="85"/>
    <n v="30"/>
    <d v="2014-01-28T00:00:00"/>
    <x v="84"/>
    <n v="81.73"/>
    <n v="56.67"/>
    <x v="85"/>
    <x v="85"/>
    <x v="85"/>
  </r>
  <r>
    <x v="2"/>
    <x v="67"/>
    <x v="1"/>
    <x v="1"/>
    <x v="0"/>
    <x v="86"/>
    <x v="86"/>
    <n v="40"/>
    <d v="2012-02-14T00:00:00"/>
    <x v="85"/>
    <n v="668.27"/>
    <n v="502.54"/>
    <x v="86"/>
    <x v="86"/>
    <x v="86"/>
  </r>
  <r>
    <x v="5"/>
    <x v="68"/>
    <x v="11"/>
    <x v="1"/>
    <x v="0"/>
    <x v="87"/>
    <x v="87"/>
    <n v="31"/>
    <d v="2013-09-18T00:00:00"/>
    <x v="86"/>
    <n v="9.33"/>
    <n v="6.92"/>
    <x v="87"/>
    <x v="87"/>
    <x v="87"/>
  </r>
  <r>
    <x v="5"/>
    <x v="56"/>
    <x v="11"/>
    <x v="1"/>
    <x v="2"/>
    <x v="88"/>
    <x v="88"/>
    <n v="15"/>
    <d v="2014-07-05T00:00:00"/>
    <x v="87"/>
    <n v="9.33"/>
    <n v="6.92"/>
    <x v="88"/>
    <x v="88"/>
    <x v="88"/>
  </r>
  <r>
    <x v="5"/>
    <x v="56"/>
    <x v="11"/>
    <x v="0"/>
    <x v="1"/>
    <x v="89"/>
    <x v="89"/>
    <n v="37"/>
    <d v="2013-10-24T00:00:00"/>
    <x v="88"/>
    <n v="9.33"/>
    <n v="6.92"/>
    <x v="89"/>
    <x v="89"/>
    <x v="89"/>
  </r>
  <r>
    <x v="4"/>
    <x v="69"/>
    <x v="11"/>
    <x v="0"/>
    <x v="0"/>
    <x v="90"/>
    <x v="90"/>
    <n v="47"/>
    <d v="2011-12-28T00:00:00"/>
    <x v="89"/>
    <n v="9.33"/>
    <n v="6.92"/>
    <x v="90"/>
    <x v="90"/>
    <x v="90"/>
  </r>
  <r>
    <x v="5"/>
    <x v="65"/>
    <x v="11"/>
    <x v="1"/>
    <x v="0"/>
    <x v="91"/>
    <x v="91"/>
    <n v="3"/>
    <d v="2010-05-10T00:00:00"/>
    <x v="90"/>
    <n v="9.33"/>
    <n v="6.92"/>
    <x v="91"/>
    <x v="91"/>
    <x v="91"/>
  </r>
  <r>
    <x v="1"/>
    <x v="70"/>
    <x v="11"/>
    <x v="1"/>
    <x v="3"/>
    <x v="92"/>
    <x v="92"/>
    <n v="28"/>
    <d v="2014-11-10T00:00:00"/>
    <x v="91"/>
    <n v="9.33"/>
    <n v="6.92"/>
    <x v="92"/>
    <x v="92"/>
    <x v="92"/>
  </r>
  <r>
    <x v="2"/>
    <x v="71"/>
    <x v="6"/>
    <x v="1"/>
    <x v="1"/>
    <x v="93"/>
    <x v="93"/>
    <n v="5"/>
    <d v="2012-10-11T00:00:00"/>
    <x v="92"/>
    <n v="154.06"/>
    <n v="90.93"/>
    <x v="93"/>
    <x v="93"/>
    <x v="93"/>
  </r>
  <r>
    <x v="0"/>
    <x v="72"/>
    <x v="11"/>
    <x v="1"/>
    <x v="0"/>
    <x v="94"/>
    <x v="94"/>
    <n v="11"/>
    <d v="2011-12-03T00:00:00"/>
    <x v="93"/>
    <n v="9.33"/>
    <n v="6.92"/>
    <x v="94"/>
    <x v="94"/>
    <x v="94"/>
  </r>
  <r>
    <x v="4"/>
    <x v="73"/>
    <x v="6"/>
    <x v="1"/>
    <x v="1"/>
    <x v="95"/>
    <x v="95"/>
    <n v="18"/>
    <d v="2011-07-12T00:00:00"/>
    <x v="94"/>
    <n v="154.06"/>
    <n v="90.93"/>
    <x v="95"/>
    <x v="95"/>
    <x v="95"/>
  </r>
  <r>
    <x v="2"/>
    <x v="3"/>
    <x v="9"/>
    <x v="1"/>
    <x v="3"/>
    <x v="96"/>
    <x v="96"/>
    <n v="39"/>
    <d v="2011-01-31T00:00:00"/>
    <x v="95"/>
    <n v="81.73"/>
    <n v="56.67"/>
    <x v="96"/>
    <x v="96"/>
    <x v="96"/>
  </r>
  <r>
    <x v="1"/>
    <x v="74"/>
    <x v="11"/>
    <x v="1"/>
    <x v="1"/>
    <x v="97"/>
    <x v="97"/>
    <n v="26"/>
    <d v="2014-10-04T00:00:00"/>
    <x v="96"/>
    <n v="9.33"/>
    <n v="6.92"/>
    <x v="97"/>
    <x v="97"/>
    <x v="97"/>
  </r>
  <r>
    <x v="0"/>
    <x v="34"/>
    <x v="11"/>
    <x v="1"/>
    <x v="0"/>
    <x v="98"/>
    <x v="98"/>
    <n v="47"/>
    <d v="2015-09-30T00:00:00"/>
    <x v="97"/>
    <n v="9.33"/>
    <n v="6.92"/>
    <x v="98"/>
    <x v="98"/>
    <x v="98"/>
  </r>
  <r>
    <x v="0"/>
    <x v="75"/>
    <x v="11"/>
    <x v="1"/>
    <x v="3"/>
    <x v="99"/>
    <x v="99"/>
    <n v="18"/>
    <d v="2012-05-18T00:00:00"/>
    <x v="98"/>
    <n v="9.33"/>
    <n v="6.92"/>
    <x v="99"/>
    <x v="99"/>
    <x v="99"/>
  </r>
  <r>
    <x v="7"/>
    <x v="76"/>
    <x v="12"/>
    <x v="2"/>
    <x v="4"/>
    <x v="100"/>
    <x v="100"/>
    <m/>
    <m/>
    <x v="99"/>
    <m/>
    <m/>
    <x v="100"/>
    <x v="100"/>
    <x v="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Region">
  <location ref="A33:B40" firstHeaderRow="1" firstDataRow="1" firstDataCol="1"/>
  <pivotFields count="15">
    <pivotField axis="axisRow" showAll="0" sortType="ascending">
      <items count="9">
        <item x="4"/>
        <item x="1"/>
        <item x="3"/>
        <item x="2"/>
        <item x="0"/>
        <item x="6"/>
        <item x="5"/>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dataField="1" showAll="0"/>
    <pivotField showAll="0"/>
    <pivotField showAll="0"/>
  </pivotFields>
  <rowFields count="1">
    <field x="0"/>
  </rowFields>
  <rowItems count="7">
    <i>
      <x v="5"/>
    </i>
    <i>
      <x v="2"/>
    </i>
    <i>
      <x v="4"/>
    </i>
    <i>
      <x v="1"/>
    </i>
    <i>
      <x/>
    </i>
    <i>
      <x v="3"/>
    </i>
    <i>
      <x v="6"/>
    </i>
  </rowItems>
  <colItems count="1">
    <i/>
  </colItems>
  <dataFields count="1">
    <dataField name="Sum of Total Revenue" fld="12" baseField="0" baseItem="0" numFmtId="166"/>
  </dataFields>
  <formats count="9">
    <format dxfId="8">
      <pivotArea collapsedLevelsAreSubtotals="1" fieldPosition="0">
        <references count="1">
          <reference field="0" count="1">
            <x v="5"/>
          </reference>
        </references>
      </pivotArea>
    </format>
    <format dxfId="7">
      <pivotArea collapsedLevelsAreSubtotals="1" fieldPosition="0">
        <references count="1">
          <reference field="0" count="1">
            <x v="2"/>
          </reference>
        </references>
      </pivotArea>
    </format>
    <format dxfId="6">
      <pivotArea collapsedLevelsAreSubtotals="1" fieldPosition="0">
        <references count="1">
          <reference field="0" count="1">
            <x v="4"/>
          </reference>
        </references>
      </pivotArea>
    </format>
    <format dxfId="5">
      <pivotArea collapsedLevelsAreSubtotals="1" fieldPosition="0">
        <references count="1">
          <reference field="0" count="1">
            <x v="1"/>
          </reference>
        </references>
      </pivotArea>
    </format>
    <format dxfId="4">
      <pivotArea collapsedLevelsAreSubtotals="1" fieldPosition="0">
        <references count="1">
          <reference field="0" count="1">
            <x v="0"/>
          </reference>
        </references>
      </pivotArea>
    </format>
    <format dxfId="3">
      <pivotArea collapsedLevelsAreSubtotals="1" fieldPosition="0">
        <references count="1">
          <reference field="0" count="1">
            <x v="3"/>
          </reference>
        </references>
      </pivotArea>
    </format>
    <format dxfId="2">
      <pivotArea collapsedLevelsAreSubtotals="1" fieldPosition="0">
        <references count="1">
          <reference field="0" count="1">
            <x v="6"/>
          </reference>
        </references>
      </pivotArea>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Item Type">
  <location ref="K3:L4" firstHeaderRow="1" firstDataRow="1" firstDataCol="1"/>
  <pivotFields count="15">
    <pivotField showAll="0">
      <items count="9">
        <item x="4"/>
        <item x="1"/>
        <item x="3"/>
        <item x="2"/>
        <item x="0"/>
        <item x="6"/>
        <item x="5"/>
        <item h="1" x="7"/>
        <item t="default"/>
      </items>
    </pivotField>
    <pivotField showAll="0"/>
    <pivotField axis="axisRow" showAll="0" sortType="descending">
      <items count="14">
        <item h="1" x="3"/>
        <item x="10"/>
        <item h="1" x="4"/>
        <item h="1" x="5"/>
        <item h="1" x="0"/>
        <item h="1" x="11"/>
        <item h="1" x="1"/>
        <item h="1" x="8"/>
        <item h="1" x="2"/>
        <item h="1" x="9"/>
        <item h="1" x="7"/>
        <item h="1" x="6"/>
        <item h="1" x="1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dataField="1" showAll="0" defaultSubtotal="0"/>
    <pivotField showAll="0"/>
    <pivotField showAll="0"/>
    <pivotField showAll="0"/>
    <pivotField showAll="0"/>
    <pivotField showAll="0"/>
    <pivotField showAll="0"/>
    <pivotField showAll="0"/>
  </pivotFields>
  <rowFields count="1">
    <field x="2"/>
  </rowFields>
  <rowItems count="1">
    <i>
      <x v="1"/>
    </i>
  </rowItems>
  <colItems count="1">
    <i/>
  </colItems>
  <dataFields count="1">
    <dataField name="Max of Ship Days" fld="7" subtotal="max"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8" rowHeaderCaption="Country">
  <location ref="A3:C13" firstHeaderRow="0" firstDataRow="1" firstDataCol="1"/>
  <pivotFields count="15">
    <pivotField showAll="0">
      <items count="9">
        <item x="4"/>
        <item x="1"/>
        <item x="3"/>
        <item x="2"/>
        <item x="0"/>
        <item x="6"/>
        <item x="5"/>
        <item h="1" x="7"/>
        <item t="default"/>
      </items>
    </pivotField>
    <pivotField axis="axisRow" showAll="0" sortType="descending">
      <items count="78">
        <item h="1" x="51"/>
        <item h="1" x="22"/>
        <item h="1" x="38"/>
        <item h="1" x="32"/>
        <item x="7"/>
        <item h="1" x="24"/>
        <item h="1" x="37"/>
        <item h="1" x="15"/>
        <item h="1" x="31"/>
        <item h="1" x="30"/>
        <item h="1" x="21"/>
        <item h="1" x="42"/>
        <item h="1" x="62"/>
        <item h="1" x="52"/>
        <item h="1" x="45"/>
        <item h="1" x="61"/>
        <item x="8"/>
        <item h="1" x="40"/>
        <item h="1" x="55"/>
        <item h="1" x="19"/>
        <item h="1" x="41"/>
        <item h="1" x="50"/>
        <item h="1" x="46"/>
        <item h="1" x="43"/>
        <item x="4"/>
        <item x="2"/>
        <item h="1" x="11"/>
        <item h="1" x="36"/>
        <item h="1" x="70"/>
        <item h="1" x="75"/>
        <item h="1" x="73"/>
        <item h="1" x="47"/>
        <item h="1" x="26"/>
        <item h="1" x="68"/>
        <item h="1" x="34"/>
        <item h="1" x="12"/>
        <item h="1" x="27"/>
        <item h="1" x="28"/>
        <item h="1" x="69"/>
        <item h="1" x="65"/>
        <item h="1" x="53"/>
        <item x="10"/>
        <item h="1" x="58"/>
        <item h="1" x="16"/>
        <item h="1" x="59"/>
        <item h="1" x="14"/>
        <item x="6"/>
        <item h="1" x="74"/>
        <item h="1" x="57"/>
        <item h="1" x="63"/>
        <item h="1" x="20"/>
        <item x="0"/>
        <item h="1" x="60"/>
        <item h="1" x="54"/>
        <item h="1" x="5"/>
        <item h="1" x="49"/>
        <item x="17"/>
        <item x="1"/>
        <item h="1" x="33"/>
        <item h="1" x="56"/>
        <item h="1" x="39"/>
        <item h="1" x="25"/>
        <item h="1" x="35"/>
        <item h="1" x="71"/>
        <item h="1" x="64"/>
        <item h="1" x="44"/>
        <item h="1" x="66"/>
        <item h="1" x="18"/>
        <item h="1" x="9"/>
        <item x="3"/>
        <item h="1" x="72"/>
        <item h="1" x="29"/>
        <item h="1" x="23"/>
        <item h="1" x="13"/>
        <item h="1" x="67"/>
        <item h="1" x="48"/>
        <item h="1" x="76"/>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dataField="1" showAll="0">
      <items count="102">
        <item x="99"/>
        <item x="98"/>
        <item x="95"/>
        <item x="97"/>
        <item x="96"/>
        <item x="93"/>
        <item x="94"/>
        <item x="92"/>
        <item x="91"/>
        <item x="90"/>
        <item x="89"/>
        <item x="88"/>
        <item x="87"/>
        <item x="83"/>
        <item x="84"/>
        <item x="85"/>
        <item x="71"/>
        <item x="86"/>
        <item x="78"/>
        <item x="82"/>
        <item x="76"/>
        <item x="80"/>
        <item x="81"/>
        <item x="60"/>
        <item x="79"/>
        <item x="77"/>
        <item x="74"/>
        <item x="73"/>
        <item x="52"/>
        <item x="69"/>
        <item x="72"/>
        <item x="70"/>
        <item x="68"/>
        <item x="59"/>
        <item x="66"/>
        <item x="65"/>
        <item x="48"/>
        <item x="67"/>
        <item x="64"/>
        <item x="62"/>
        <item x="61"/>
        <item x="55"/>
        <item x="54"/>
        <item x="42"/>
        <item x="75"/>
        <item x="56"/>
        <item x="39"/>
        <item x="37"/>
        <item x="58"/>
        <item x="49"/>
        <item x="50"/>
        <item x="47"/>
        <item x="31"/>
        <item x="63"/>
        <item x="45"/>
        <item x="30"/>
        <item x="29"/>
        <item x="27"/>
        <item x="40"/>
        <item x="20"/>
        <item x="41"/>
        <item x="57"/>
        <item x="36"/>
        <item x="35"/>
        <item x="33"/>
        <item x="53"/>
        <item x="28"/>
        <item x="32"/>
        <item x="43"/>
        <item x="18"/>
        <item x="21"/>
        <item x="44"/>
        <item x="17"/>
        <item x="51"/>
        <item x="16"/>
        <item x="38"/>
        <item x="46"/>
        <item x="13"/>
        <item x="25"/>
        <item x="34"/>
        <item x="23"/>
        <item x="11"/>
        <item x="19"/>
        <item x="9"/>
        <item x="8"/>
        <item x="7"/>
        <item x="26"/>
        <item x="24"/>
        <item x="5"/>
        <item x="14"/>
        <item x="22"/>
        <item x="3"/>
        <item x="2"/>
        <item x="1"/>
        <item x="0"/>
        <item x="15"/>
        <item x="10"/>
        <item x="12"/>
        <item x="6"/>
        <item x="4"/>
        <item x="100"/>
        <item t="default"/>
      </items>
    </pivotField>
    <pivotField showAll="0"/>
    <pivotField dataField="1" showAll="0"/>
  </pivotFields>
  <rowFields count="1">
    <field x="1"/>
  </rowFields>
  <rowItems count="10">
    <i>
      <x v="16"/>
    </i>
    <i>
      <x v="46"/>
    </i>
    <i>
      <x v="51"/>
    </i>
    <i>
      <x v="57"/>
    </i>
    <i>
      <x v="24"/>
    </i>
    <i>
      <x v="25"/>
    </i>
    <i>
      <x v="4"/>
    </i>
    <i>
      <x v="69"/>
    </i>
    <i>
      <x v="41"/>
    </i>
    <i>
      <x v="56"/>
    </i>
  </rowItems>
  <colFields count="1">
    <field x="-2"/>
  </colFields>
  <colItems count="2">
    <i>
      <x/>
    </i>
    <i i="1">
      <x v="1"/>
    </i>
  </colItems>
  <dataFields count="2">
    <dataField name="Profit" fld="14" baseField="1" baseItem="16" numFmtId="166"/>
    <dataField name="Revenue" fld="12" baseField="1" baseItem="16"/>
  </dataFields>
  <formats count="2">
    <format dxfId="10">
      <pivotArea dataOnly="0" labelOnly="1" outline="0" axis="axisValues" fieldPosition="0"/>
    </format>
    <format dxfId="9">
      <pivotArea outline="0" collapsedLevelsAreSubtotals="1" fieldPosition="0"/>
    </format>
  </formats>
  <chartFormats count="8">
    <chartFormat chart="41" format="1" series="1">
      <pivotArea type="data" outline="0" fieldPosition="0">
        <references count="1">
          <reference field="4294967294" count="1" selected="0">
            <x v="0"/>
          </reference>
        </references>
      </pivotArea>
    </chartFormat>
    <chartFormat chart="42" format="3"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1"/>
          </reference>
        </references>
      </pivotArea>
    </chartFormat>
    <chartFormat chart="48" format="1" series="1">
      <pivotArea type="data" outline="0" fieldPosition="0">
        <references count="1">
          <reference field="4294967294" count="1" selected="0">
            <x v="1"/>
          </reference>
        </references>
      </pivotArea>
    </chartFormat>
    <chartFormat chart="5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6" rowHeaderCaption="Item Type">
  <location ref="A17:B29" firstHeaderRow="1" firstDataRow="1" firstDataCol="1"/>
  <pivotFields count="15">
    <pivotField showAll="0">
      <items count="9">
        <item x="4"/>
        <item x="1"/>
        <item x="3"/>
        <item x="2"/>
        <item x="0"/>
        <item x="6"/>
        <item x="5"/>
        <item h="1" x="7"/>
        <item t="default"/>
      </items>
    </pivotField>
    <pivotField showAll="0"/>
    <pivotField axis="axisRow" showAll="0" sortType="descending">
      <items count="14">
        <item x="3"/>
        <item x="10"/>
        <item x="4"/>
        <item x="5"/>
        <item x="0"/>
        <item x="11"/>
        <item x="1"/>
        <item x="8"/>
        <item x="2"/>
        <item x="9"/>
        <item x="7"/>
        <item x="6"/>
        <item h="1" x="12"/>
        <item t="default"/>
      </items>
      <autoSortScope>
        <pivotArea dataOnly="0" outline="0" fieldPosition="0">
          <references count="1">
            <reference field="4294967294" count="1" selected="0">
              <x v="0"/>
            </reference>
          </references>
        </pivotArea>
      </autoSortScope>
    </pivotField>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dataField="1" showAll="0"/>
    <pivotField showAll="0"/>
    <pivotField showAll="0"/>
    <pivotField showAll="0"/>
    <pivotField showAll="0"/>
    <pivotField showAll="0"/>
  </pivotFields>
  <rowFields count="1">
    <field x="2"/>
  </rowFields>
  <rowItems count="12">
    <i>
      <x v="4"/>
    </i>
    <i>
      <x v="3"/>
    </i>
    <i>
      <x v="1"/>
    </i>
    <i>
      <x v="5"/>
    </i>
    <i>
      <x v="9"/>
    </i>
    <i>
      <x v="8"/>
    </i>
    <i>
      <x v="6"/>
    </i>
    <i>
      <x/>
    </i>
    <i>
      <x v="2"/>
    </i>
    <i>
      <x v="11"/>
    </i>
    <i>
      <x v="10"/>
    </i>
    <i>
      <x v="7"/>
    </i>
  </rowItems>
  <colItems count="1">
    <i/>
  </colItems>
  <dataFields count="1">
    <dataField name="Sum of Units Sold" fld="9" baseField="2" baseItem="0" numFmtId="167"/>
  </dataFields>
  <formats count="2">
    <format dxfId="12">
      <pivotArea outline="0" collapsedLevelsAreSubtotals="1" fieldPosition="0"/>
    </format>
    <format dxfId="11">
      <pivotArea dataOnly="0" labelOnly="1" outline="0" axis="axisValues" fieldPosition="0"/>
    </format>
  </formats>
  <chartFormats count="130">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2" count="1" selected="0">
            <x v="8"/>
          </reference>
        </references>
      </pivotArea>
    </chartFormat>
    <chartFormat chart="24" format="2">
      <pivotArea type="data" outline="0" fieldPosition="0">
        <references count="2">
          <reference field="4294967294" count="1" selected="0">
            <x v="0"/>
          </reference>
          <reference field="2" count="1" selected="0">
            <x v="4"/>
          </reference>
        </references>
      </pivotArea>
    </chartFormat>
    <chartFormat chart="24" format="3">
      <pivotArea type="data" outline="0" fieldPosition="0">
        <references count="2">
          <reference field="4294967294" count="1" selected="0">
            <x v="0"/>
          </reference>
          <reference field="2" count="1" selected="0">
            <x v="3"/>
          </reference>
        </references>
      </pivotArea>
    </chartFormat>
    <chartFormat chart="24" format="4">
      <pivotArea type="data" outline="0" fieldPosition="0">
        <references count="2">
          <reference field="4294967294" count="1" selected="0">
            <x v="0"/>
          </reference>
          <reference field="2" count="1" selected="0">
            <x v="1"/>
          </reference>
        </references>
      </pivotArea>
    </chartFormat>
    <chartFormat chart="24" format="5">
      <pivotArea type="data" outline="0" fieldPosition="0">
        <references count="2">
          <reference field="4294967294" count="1" selected="0">
            <x v="0"/>
          </reference>
          <reference field="2" count="1" selected="0">
            <x v="5"/>
          </reference>
        </references>
      </pivotArea>
    </chartFormat>
    <chartFormat chart="24" format="6">
      <pivotArea type="data" outline="0" fieldPosition="0">
        <references count="2">
          <reference field="4294967294" count="1" selected="0">
            <x v="0"/>
          </reference>
          <reference field="2" count="1" selected="0">
            <x v="9"/>
          </reference>
        </references>
      </pivotArea>
    </chartFormat>
    <chartFormat chart="24" format="7">
      <pivotArea type="data" outline="0" fieldPosition="0">
        <references count="2">
          <reference field="4294967294" count="1" selected="0">
            <x v="0"/>
          </reference>
          <reference field="2" count="1" selected="0">
            <x v="6"/>
          </reference>
        </references>
      </pivotArea>
    </chartFormat>
    <chartFormat chart="24" format="8">
      <pivotArea type="data" outline="0" fieldPosition="0">
        <references count="2">
          <reference field="4294967294" count="1" selected="0">
            <x v="0"/>
          </reference>
          <reference field="2" count="1" selected="0">
            <x v="0"/>
          </reference>
        </references>
      </pivotArea>
    </chartFormat>
    <chartFormat chart="24" format="9">
      <pivotArea type="data" outline="0" fieldPosition="0">
        <references count="2">
          <reference field="4294967294" count="1" selected="0">
            <x v="0"/>
          </reference>
          <reference field="2" count="1" selected="0">
            <x v="2"/>
          </reference>
        </references>
      </pivotArea>
    </chartFormat>
    <chartFormat chart="24" format="10">
      <pivotArea type="data" outline="0" fieldPosition="0">
        <references count="2">
          <reference field="4294967294" count="1" selected="0">
            <x v="0"/>
          </reference>
          <reference field="2" count="1" selected="0">
            <x v="11"/>
          </reference>
        </references>
      </pivotArea>
    </chartFormat>
    <chartFormat chart="24" format="11">
      <pivotArea type="data" outline="0" fieldPosition="0">
        <references count="2">
          <reference field="4294967294" count="1" selected="0">
            <x v="0"/>
          </reference>
          <reference field="2" count="1" selected="0">
            <x v="10"/>
          </reference>
        </references>
      </pivotArea>
    </chartFormat>
    <chartFormat chart="24" format="12">
      <pivotArea type="data" outline="0" fieldPosition="0">
        <references count="2">
          <reference field="4294967294" count="1" selected="0">
            <x v="0"/>
          </reference>
          <reference field="2" count="1" selected="0">
            <x v="7"/>
          </reference>
        </references>
      </pivotArea>
    </chartFormat>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2" count="1" selected="0">
            <x v="4"/>
          </reference>
        </references>
      </pivotArea>
    </chartFormat>
    <chartFormat chart="25" format="15">
      <pivotArea type="data" outline="0" fieldPosition="0">
        <references count="2">
          <reference field="4294967294" count="1" selected="0">
            <x v="0"/>
          </reference>
          <reference field="2" count="1" selected="0">
            <x v="3"/>
          </reference>
        </references>
      </pivotArea>
    </chartFormat>
    <chartFormat chart="25" format="16">
      <pivotArea type="data" outline="0" fieldPosition="0">
        <references count="2">
          <reference field="4294967294" count="1" selected="0">
            <x v="0"/>
          </reference>
          <reference field="2" count="1" selected="0">
            <x v="1"/>
          </reference>
        </references>
      </pivotArea>
    </chartFormat>
    <chartFormat chart="25" format="17">
      <pivotArea type="data" outline="0" fieldPosition="0">
        <references count="2">
          <reference field="4294967294" count="1" selected="0">
            <x v="0"/>
          </reference>
          <reference field="2" count="1" selected="0">
            <x v="5"/>
          </reference>
        </references>
      </pivotArea>
    </chartFormat>
    <chartFormat chart="25" format="18">
      <pivotArea type="data" outline="0" fieldPosition="0">
        <references count="2">
          <reference field="4294967294" count="1" selected="0">
            <x v="0"/>
          </reference>
          <reference field="2" count="1" selected="0">
            <x v="9"/>
          </reference>
        </references>
      </pivotArea>
    </chartFormat>
    <chartFormat chart="25" format="19">
      <pivotArea type="data" outline="0" fieldPosition="0">
        <references count="2">
          <reference field="4294967294" count="1" selected="0">
            <x v="0"/>
          </reference>
          <reference field="2" count="1" selected="0">
            <x v="8"/>
          </reference>
        </references>
      </pivotArea>
    </chartFormat>
    <chartFormat chart="25" format="20">
      <pivotArea type="data" outline="0" fieldPosition="0">
        <references count="2">
          <reference field="4294967294" count="1" selected="0">
            <x v="0"/>
          </reference>
          <reference field="2" count="1" selected="0">
            <x v="6"/>
          </reference>
        </references>
      </pivotArea>
    </chartFormat>
    <chartFormat chart="25" format="21">
      <pivotArea type="data" outline="0" fieldPosition="0">
        <references count="2">
          <reference field="4294967294" count="1" selected="0">
            <x v="0"/>
          </reference>
          <reference field="2" count="1" selected="0">
            <x v="0"/>
          </reference>
        </references>
      </pivotArea>
    </chartFormat>
    <chartFormat chart="25" format="22">
      <pivotArea type="data" outline="0" fieldPosition="0">
        <references count="2">
          <reference field="4294967294" count="1" selected="0">
            <x v="0"/>
          </reference>
          <reference field="2" count="1" selected="0">
            <x v="2"/>
          </reference>
        </references>
      </pivotArea>
    </chartFormat>
    <chartFormat chart="25" format="23">
      <pivotArea type="data" outline="0" fieldPosition="0">
        <references count="2">
          <reference field="4294967294" count="1" selected="0">
            <x v="0"/>
          </reference>
          <reference field="2" count="1" selected="0">
            <x v="11"/>
          </reference>
        </references>
      </pivotArea>
    </chartFormat>
    <chartFormat chart="25" format="24">
      <pivotArea type="data" outline="0" fieldPosition="0">
        <references count="2">
          <reference field="4294967294" count="1" selected="0">
            <x v="0"/>
          </reference>
          <reference field="2" count="1" selected="0">
            <x v="10"/>
          </reference>
        </references>
      </pivotArea>
    </chartFormat>
    <chartFormat chart="25" format="25">
      <pivotArea type="data" outline="0" fieldPosition="0">
        <references count="2">
          <reference field="4294967294" count="1" selected="0">
            <x v="0"/>
          </reference>
          <reference field="2" count="1" selected="0">
            <x v="7"/>
          </reference>
        </references>
      </pivotArea>
    </chartFormat>
    <chartFormat chart="26" format="26" series="1">
      <pivotArea type="data" outline="0" fieldPosition="0">
        <references count="1">
          <reference field="4294967294" count="1" selected="0">
            <x v="0"/>
          </reference>
        </references>
      </pivotArea>
    </chartFormat>
    <chartFormat chart="26" format="27">
      <pivotArea type="data" outline="0" fieldPosition="0">
        <references count="2">
          <reference field="4294967294" count="1" selected="0">
            <x v="0"/>
          </reference>
          <reference field="2" count="1" selected="0">
            <x v="4"/>
          </reference>
        </references>
      </pivotArea>
    </chartFormat>
    <chartFormat chart="26" format="28">
      <pivotArea type="data" outline="0" fieldPosition="0">
        <references count="2">
          <reference field="4294967294" count="1" selected="0">
            <x v="0"/>
          </reference>
          <reference field="2" count="1" selected="0">
            <x v="3"/>
          </reference>
        </references>
      </pivotArea>
    </chartFormat>
    <chartFormat chart="26" format="29">
      <pivotArea type="data" outline="0" fieldPosition="0">
        <references count="2">
          <reference field="4294967294" count="1" selected="0">
            <x v="0"/>
          </reference>
          <reference field="2" count="1" selected="0">
            <x v="1"/>
          </reference>
        </references>
      </pivotArea>
    </chartFormat>
    <chartFormat chart="26" format="30">
      <pivotArea type="data" outline="0" fieldPosition="0">
        <references count="2">
          <reference field="4294967294" count="1" selected="0">
            <x v="0"/>
          </reference>
          <reference field="2" count="1" selected="0">
            <x v="5"/>
          </reference>
        </references>
      </pivotArea>
    </chartFormat>
    <chartFormat chart="26" format="31">
      <pivotArea type="data" outline="0" fieldPosition="0">
        <references count="2">
          <reference field="4294967294" count="1" selected="0">
            <x v="0"/>
          </reference>
          <reference field="2" count="1" selected="0">
            <x v="9"/>
          </reference>
        </references>
      </pivotArea>
    </chartFormat>
    <chartFormat chart="26" format="32">
      <pivotArea type="data" outline="0" fieldPosition="0">
        <references count="2">
          <reference field="4294967294" count="1" selected="0">
            <x v="0"/>
          </reference>
          <reference field="2" count="1" selected="0">
            <x v="8"/>
          </reference>
        </references>
      </pivotArea>
    </chartFormat>
    <chartFormat chart="26" format="33">
      <pivotArea type="data" outline="0" fieldPosition="0">
        <references count="2">
          <reference field="4294967294" count="1" selected="0">
            <x v="0"/>
          </reference>
          <reference field="2" count="1" selected="0">
            <x v="6"/>
          </reference>
        </references>
      </pivotArea>
    </chartFormat>
    <chartFormat chart="26" format="34">
      <pivotArea type="data" outline="0" fieldPosition="0">
        <references count="2">
          <reference field="4294967294" count="1" selected="0">
            <x v="0"/>
          </reference>
          <reference field="2" count="1" selected="0">
            <x v="0"/>
          </reference>
        </references>
      </pivotArea>
    </chartFormat>
    <chartFormat chart="26" format="35">
      <pivotArea type="data" outline="0" fieldPosition="0">
        <references count="2">
          <reference field="4294967294" count="1" selected="0">
            <x v="0"/>
          </reference>
          <reference field="2" count="1" selected="0">
            <x v="2"/>
          </reference>
        </references>
      </pivotArea>
    </chartFormat>
    <chartFormat chart="26" format="36">
      <pivotArea type="data" outline="0" fieldPosition="0">
        <references count="2">
          <reference field="4294967294" count="1" selected="0">
            <x v="0"/>
          </reference>
          <reference field="2" count="1" selected="0">
            <x v="11"/>
          </reference>
        </references>
      </pivotArea>
    </chartFormat>
    <chartFormat chart="26" format="37">
      <pivotArea type="data" outline="0" fieldPosition="0">
        <references count="2">
          <reference field="4294967294" count="1" selected="0">
            <x v="0"/>
          </reference>
          <reference field="2" count="1" selected="0">
            <x v="10"/>
          </reference>
        </references>
      </pivotArea>
    </chartFormat>
    <chartFormat chart="26" format="38">
      <pivotArea type="data" outline="0" fieldPosition="0">
        <references count="2">
          <reference field="4294967294" count="1" selected="0">
            <x v="0"/>
          </reference>
          <reference field="2" count="1" selected="0">
            <x v="7"/>
          </reference>
        </references>
      </pivotArea>
    </chartFormat>
    <chartFormat chart="27" format="39" series="1">
      <pivotArea type="data" outline="0" fieldPosition="0">
        <references count="1">
          <reference field="4294967294" count="1" selected="0">
            <x v="0"/>
          </reference>
        </references>
      </pivotArea>
    </chartFormat>
    <chartFormat chart="27" format="40">
      <pivotArea type="data" outline="0" fieldPosition="0">
        <references count="2">
          <reference field="4294967294" count="1" selected="0">
            <x v="0"/>
          </reference>
          <reference field="2" count="1" selected="0">
            <x v="4"/>
          </reference>
        </references>
      </pivotArea>
    </chartFormat>
    <chartFormat chart="27" format="41">
      <pivotArea type="data" outline="0" fieldPosition="0">
        <references count="2">
          <reference field="4294967294" count="1" selected="0">
            <x v="0"/>
          </reference>
          <reference field="2" count="1" selected="0">
            <x v="3"/>
          </reference>
        </references>
      </pivotArea>
    </chartFormat>
    <chartFormat chart="27" format="42">
      <pivotArea type="data" outline="0" fieldPosition="0">
        <references count="2">
          <reference field="4294967294" count="1" selected="0">
            <x v="0"/>
          </reference>
          <reference field="2" count="1" selected="0">
            <x v="1"/>
          </reference>
        </references>
      </pivotArea>
    </chartFormat>
    <chartFormat chart="27" format="43">
      <pivotArea type="data" outline="0" fieldPosition="0">
        <references count="2">
          <reference field="4294967294" count="1" selected="0">
            <x v="0"/>
          </reference>
          <reference field="2" count="1" selected="0">
            <x v="5"/>
          </reference>
        </references>
      </pivotArea>
    </chartFormat>
    <chartFormat chart="27" format="44">
      <pivotArea type="data" outline="0" fieldPosition="0">
        <references count="2">
          <reference field="4294967294" count="1" selected="0">
            <x v="0"/>
          </reference>
          <reference field="2" count="1" selected="0">
            <x v="9"/>
          </reference>
        </references>
      </pivotArea>
    </chartFormat>
    <chartFormat chart="27" format="45">
      <pivotArea type="data" outline="0" fieldPosition="0">
        <references count="2">
          <reference field="4294967294" count="1" selected="0">
            <x v="0"/>
          </reference>
          <reference field="2" count="1" selected="0">
            <x v="8"/>
          </reference>
        </references>
      </pivotArea>
    </chartFormat>
    <chartFormat chart="27" format="46">
      <pivotArea type="data" outline="0" fieldPosition="0">
        <references count="2">
          <reference field="4294967294" count="1" selected="0">
            <x v="0"/>
          </reference>
          <reference field="2" count="1" selected="0">
            <x v="6"/>
          </reference>
        </references>
      </pivotArea>
    </chartFormat>
    <chartFormat chart="27" format="47">
      <pivotArea type="data" outline="0" fieldPosition="0">
        <references count="2">
          <reference field="4294967294" count="1" selected="0">
            <x v="0"/>
          </reference>
          <reference field="2" count="1" selected="0">
            <x v="0"/>
          </reference>
        </references>
      </pivotArea>
    </chartFormat>
    <chartFormat chart="27" format="48">
      <pivotArea type="data" outline="0" fieldPosition="0">
        <references count="2">
          <reference field="4294967294" count="1" selected="0">
            <x v="0"/>
          </reference>
          <reference field="2" count="1" selected="0">
            <x v="2"/>
          </reference>
        </references>
      </pivotArea>
    </chartFormat>
    <chartFormat chart="27" format="49">
      <pivotArea type="data" outline="0" fieldPosition="0">
        <references count="2">
          <reference field="4294967294" count="1" selected="0">
            <x v="0"/>
          </reference>
          <reference field="2" count="1" selected="0">
            <x v="11"/>
          </reference>
        </references>
      </pivotArea>
    </chartFormat>
    <chartFormat chart="27" format="50">
      <pivotArea type="data" outline="0" fieldPosition="0">
        <references count="2">
          <reference field="4294967294" count="1" selected="0">
            <x v="0"/>
          </reference>
          <reference field="2" count="1" selected="0">
            <x v="10"/>
          </reference>
        </references>
      </pivotArea>
    </chartFormat>
    <chartFormat chart="27" format="51">
      <pivotArea type="data" outline="0" fieldPosition="0">
        <references count="2">
          <reference field="4294967294" count="1" selected="0">
            <x v="0"/>
          </reference>
          <reference field="2" count="1" selected="0">
            <x v="7"/>
          </reference>
        </references>
      </pivotArea>
    </chartFormat>
    <chartFormat chart="31" format="52" series="1">
      <pivotArea type="data" outline="0" fieldPosition="0">
        <references count="1">
          <reference field="4294967294" count="1" selected="0">
            <x v="0"/>
          </reference>
        </references>
      </pivotArea>
    </chartFormat>
    <chartFormat chart="31" format="53">
      <pivotArea type="data" outline="0" fieldPosition="0">
        <references count="2">
          <reference field="4294967294" count="1" selected="0">
            <x v="0"/>
          </reference>
          <reference field="2" count="1" selected="0">
            <x v="4"/>
          </reference>
        </references>
      </pivotArea>
    </chartFormat>
    <chartFormat chart="31" format="54">
      <pivotArea type="data" outline="0" fieldPosition="0">
        <references count="2">
          <reference field="4294967294" count="1" selected="0">
            <x v="0"/>
          </reference>
          <reference field="2" count="1" selected="0">
            <x v="3"/>
          </reference>
        </references>
      </pivotArea>
    </chartFormat>
    <chartFormat chart="31" format="55">
      <pivotArea type="data" outline="0" fieldPosition="0">
        <references count="2">
          <reference field="4294967294" count="1" selected="0">
            <x v="0"/>
          </reference>
          <reference field="2" count="1" selected="0">
            <x v="1"/>
          </reference>
        </references>
      </pivotArea>
    </chartFormat>
    <chartFormat chart="31" format="56">
      <pivotArea type="data" outline="0" fieldPosition="0">
        <references count="2">
          <reference field="4294967294" count="1" selected="0">
            <x v="0"/>
          </reference>
          <reference field="2" count="1" selected="0">
            <x v="5"/>
          </reference>
        </references>
      </pivotArea>
    </chartFormat>
    <chartFormat chart="31" format="57">
      <pivotArea type="data" outline="0" fieldPosition="0">
        <references count="2">
          <reference field="4294967294" count="1" selected="0">
            <x v="0"/>
          </reference>
          <reference field="2" count="1" selected="0">
            <x v="9"/>
          </reference>
        </references>
      </pivotArea>
    </chartFormat>
    <chartFormat chart="31" format="58">
      <pivotArea type="data" outline="0" fieldPosition="0">
        <references count="2">
          <reference field="4294967294" count="1" selected="0">
            <x v="0"/>
          </reference>
          <reference field="2" count="1" selected="0">
            <x v="8"/>
          </reference>
        </references>
      </pivotArea>
    </chartFormat>
    <chartFormat chart="31" format="59">
      <pivotArea type="data" outline="0" fieldPosition="0">
        <references count="2">
          <reference field="4294967294" count="1" selected="0">
            <x v="0"/>
          </reference>
          <reference field="2" count="1" selected="0">
            <x v="6"/>
          </reference>
        </references>
      </pivotArea>
    </chartFormat>
    <chartFormat chart="31" format="60">
      <pivotArea type="data" outline="0" fieldPosition="0">
        <references count="2">
          <reference field="4294967294" count="1" selected="0">
            <x v="0"/>
          </reference>
          <reference field="2" count="1" selected="0">
            <x v="0"/>
          </reference>
        </references>
      </pivotArea>
    </chartFormat>
    <chartFormat chart="31" format="61">
      <pivotArea type="data" outline="0" fieldPosition="0">
        <references count="2">
          <reference field="4294967294" count="1" selected="0">
            <x v="0"/>
          </reference>
          <reference field="2" count="1" selected="0">
            <x v="2"/>
          </reference>
        </references>
      </pivotArea>
    </chartFormat>
    <chartFormat chart="31" format="62">
      <pivotArea type="data" outline="0" fieldPosition="0">
        <references count="2">
          <reference field="4294967294" count="1" selected="0">
            <x v="0"/>
          </reference>
          <reference field="2" count="1" selected="0">
            <x v="11"/>
          </reference>
        </references>
      </pivotArea>
    </chartFormat>
    <chartFormat chart="31" format="63">
      <pivotArea type="data" outline="0" fieldPosition="0">
        <references count="2">
          <reference field="4294967294" count="1" selected="0">
            <x v="0"/>
          </reference>
          <reference field="2" count="1" selected="0">
            <x v="10"/>
          </reference>
        </references>
      </pivotArea>
    </chartFormat>
    <chartFormat chart="31" format="64">
      <pivotArea type="data" outline="0" fieldPosition="0">
        <references count="2">
          <reference field="4294967294" count="1" selected="0">
            <x v="0"/>
          </reference>
          <reference field="2" count="1" selected="0">
            <x v="7"/>
          </reference>
        </references>
      </pivotArea>
    </chartFormat>
    <chartFormat chart="34" format="65" series="1">
      <pivotArea type="data" outline="0" fieldPosition="0">
        <references count="1">
          <reference field="4294967294" count="1" selected="0">
            <x v="0"/>
          </reference>
        </references>
      </pivotArea>
    </chartFormat>
    <chartFormat chart="34" format="66">
      <pivotArea type="data" outline="0" fieldPosition="0">
        <references count="2">
          <reference field="4294967294" count="1" selected="0">
            <x v="0"/>
          </reference>
          <reference field="2" count="1" selected="0">
            <x v="4"/>
          </reference>
        </references>
      </pivotArea>
    </chartFormat>
    <chartFormat chart="34" format="67">
      <pivotArea type="data" outline="0" fieldPosition="0">
        <references count="2">
          <reference field="4294967294" count="1" selected="0">
            <x v="0"/>
          </reference>
          <reference field="2" count="1" selected="0">
            <x v="3"/>
          </reference>
        </references>
      </pivotArea>
    </chartFormat>
    <chartFormat chart="34" format="68">
      <pivotArea type="data" outline="0" fieldPosition="0">
        <references count="2">
          <reference field="4294967294" count="1" selected="0">
            <x v="0"/>
          </reference>
          <reference field="2" count="1" selected="0">
            <x v="1"/>
          </reference>
        </references>
      </pivotArea>
    </chartFormat>
    <chartFormat chart="34" format="69">
      <pivotArea type="data" outline="0" fieldPosition="0">
        <references count="2">
          <reference field="4294967294" count="1" selected="0">
            <x v="0"/>
          </reference>
          <reference field="2" count="1" selected="0">
            <x v="5"/>
          </reference>
        </references>
      </pivotArea>
    </chartFormat>
    <chartFormat chart="34" format="70">
      <pivotArea type="data" outline="0" fieldPosition="0">
        <references count="2">
          <reference field="4294967294" count="1" selected="0">
            <x v="0"/>
          </reference>
          <reference field="2" count="1" selected="0">
            <x v="9"/>
          </reference>
        </references>
      </pivotArea>
    </chartFormat>
    <chartFormat chart="34" format="71">
      <pivotArea type="data" outline="0" fieldPosition="0">
        <references count="2">
          <reference field="4294967294" count="1" selected="0">
            <x v="0"/>
          </reference>
          <reference field="2" count="1" selected="0">
            <x v="8"/>
          </reference>
        </references>
      </pivotArea>
    </chartFormat>
    <chartFormat chart="34" format="72">
      <pivotArea type="data" outline="0" fieldPosition="0">
        <references count="2">
          <reference field="4294967294" count="1" selected="0">
            <x v="0"/>
          </reference>
          <reference field="2" count="1" selected="0">
            <x v="6"/>
          </reference>
        </references>
      </pivotArea>
    </chartFormat>
    <chartFormat chart="34" format="73">
      <pivotArea type="data" outline="0" fieldPosition="0">
        <references count="2">
          <reference field="4294967294" count="1" selected="0">
            <x v="0"/>
          </reference>
          <reference field="2" count="1" selected="0">
            <x v="0"/>
          </reference>
        </references>
      </pivotArea>
    </chartFormat>
    <chartFormat chart="34" format="74">
      <pivotArea type="data" outline="0" fieldPosition="0">
        <references count="2">
          <reference field="4294967294" count="1" selected="0">
            <x v="0"/>
          </reference>
          <reference field="2" count="1" selected="0">
            <x v="2"/>
          </reference>
        </references>
      </pivotArea>
    </chartFormat>
    <chartFormat chart="34" format="75">
      <pivotArea type="data" outline="0" fieldPosition="0">
        <references count="2">
          <reference field="4294967294" count="1" selected="0">
            <x v="0"/>
          </reference>
          <reference field="2" count="1" selected="0">
            <x v="11"/>
          </reference>
        </references>
      </pivotArea>
    </chartFormat>
    <chartFormat chart="34" format="76">
      <pivotArea type="data" outline="0" fieldPosition="0">
        <references count="2">
          <reference field="4294967294" count="1" selected="0">
            <x v="0"/>
          </reference>
          <reference field="2" count="1" selected="0">
            <x v="10"/>
          </reference>
        </references>
      </pivotArea>
    </chartFormat>
    <chartFormat chart="34" format="77">
      <pivotArea type="data" outline="0" fieldPosition="0">
        <references count="2">
          <reference field="4294967294" count="1" selected="0">
            <x v="0"/>
          </reference>
          <reference field="2" count="1" selected="0">
            <x v="7"/>
          </reference>
        </references>
      </pivotArea>
    </chartFormat>
    <chartFormat chart="35" format="78" series="1">
      <pivotArea type="data" outline="0" fieldPosition="0">
        <references count="1">
          <reference field="4294967294" count="1" selected="0">
            <x v="0"/>
          </reference>
        </references>
      </pivotArea>
    </chartFormat>
    <chartFormat chart="35" format="79">
      <pivotArea type="data" outline="0" fieldPosition="0">
        <references count="2">
          <reference field="4294967294" count="1" selected="0">
            <x v="0"/>
          </reference>
          <reference field="2" count="1" selected="0">
            <x v="4"/>
          </reference>
        </references>
      </pivotArea>
    </chartFormat>
    <chartFormat chart="35" format="80">
      <pivotArea type="data" outline="0" fieldPosition="0">
        <references count="2">
          <reference field="4294967294" count="1" selected="0">
            <x v="0"/>
          </reference>
          <reference field="2" count="1" selected="0">
            <x v="3"/>
          </reference>
        </references>
      </pivotArea>
    </chartFormat>
    <chartFormat chart="35" format="81">
      <pivotArea type="data" outline="0" fieldPosition="0">
        <references count="2">
          <reference field="4294967294" count="1" selected="0">
            <x v="0"/>
          </reference>
          <reference field="2" count="1" selected="0">
            <x v="1"/>
          </reference>
        </references>
      </pivotArea>
    </chartFormat>
    <chartFormat chart="35" format="82">
      <pivotArea type="data" outline="0" fieldPosition="0">
        <references count="2">
          <reference field="4294967294" count="1" selected="0">
            <x v="0"/>
          </reference>
          <reference field="2" count="1" selected="0">
            <x v="5"/>
          </reference>
        </references>
      </pivotArea>
    </chartFormat>
    <chartFormat chart="35" format="83">
      <pivotArea type="data" outline="0" fieldPosition="0">
        <references count="2">
          <reference field="4294967294" count="1" selected="0">
            <x v="0"/>
          </reference>
          <reference field="2" count="1" selected="0">
            <x v="9"/>
          </reference>
        </references>
      </pivotArea>
    </chartFormat>
    <chartFormat chart="35" format="84">
      <pivotArea type="data" outline="0" fieldPosition="0">
        <references count="2">
          <reference field="4294967294" count="1" selected="0">
            <x v="0"/>
          </reference>
          <reference field="2" count="1" selected="0">
            <x v="8"/>
          </reference>
        </references>
      </pivotArea>
    </chartFormat>
    <chartFormat chart="35" format="85">
      <pivotArea type="data" outline="0" fieldPosition="0">
        <references count="2">
          <reference field="4294967294" count="1" selected="0">
            <x v="0"/>
          </reference>
          <reference field="2" count="1" selected="0">
            <x v="6"/>
          </reference>
        </references>
      </pivotArea>
    </chartFormat>
    <chartFormat chart="35" format="86">
      <pivotArea type="data" outline="0" fieldPosition="0">
        <references count="2">
          <reference field="4294967294" count="1" selected="0">
            <x v="0"/>
          </reference>
          <reference field="2" count="1" selected="0">
            <x v="0"/>
          </reference>
        </references>
      </pivotArea>
    </chartFormat>
    <chartFormat chart="35" format="87">
      <pivotArea type="data" outline="0" fieldPosition="0">
        <references count="2">
          <reference field="4294967294" count="1" selected="0">
            <x v="0"/>
          </reference>
          <reference field="2" count="1" selected="0">
            <x v="2"/>
          </reference>
        </references>
      </pivotArea>
    </chartFormat>
    <chartFormat chart="35" format="88">
      <pivotArea type="data" outline="0" fieldPosition="0">
        <references count="2">
          <reference field="4294967294" count="1" selected="0">
            <x v="0"/>
          </reference>
          <reference field="2" count="1" selected="0">
            <x v="11"/>
          </reference>
        </references>
      </pivotArea>
    </chartFormat>
    <chartFormat chart="35" format="89">
      <pivotArea type="data" outline="0" fieldPosition="0">
        <references count="2">
          <reference field="4294967294" count="1" selected="0">
            <x v="0"/>
          </reference>
          <reference field="2" count="1" selected="0">
            <x v="10"/>
          </reference>
        </references>
      </pivotArea>
    </chartFormat>
    <chartFormat chart="35" format="90">
      <pivotArea type="data" outline="0" fieldPosition="0">
        <references count="2">
          <reference field="4294967294" count="1" selected="0">
            <x v="0"/>
          </reference>
          <reference field="2" count="1" selected="0">
            <x v="7"/>
          </reference>
        </references>
      </pivotArea>
    </chartFormat>
    <chartFormat chart="36" format="78" series="1">
      <pivotArea type="data" outline="0" fieldPosition="0">
        <references count="1">
          <reference field="4294967294" count="1" selected="0">
            <x v="0"/>
          </reference>
        </references>
      </pivotArea>
    </chartFormat>
    <chartFormat chart="36" format="79">
      <pivotArea type="data" outline="0" fieldPosition="0">
        <references count="2">
          <reference field="4294967294" count="1" selected="0">
            <x v="0"/>
          </reference>
          <reference field="2" count="1" selected="0">
            <x v="4"/>
          </reference>
        </references>
      </pivotArea>
    </chartFormat>
    <chartFormat chart="36" format="80">
      <pivotArea type="data" outline="0" fieldPosition="0">
        <references count="2">
          <reference field="4294967294" count="1" selected="0">
            <x v="0"/>
          </reference>
          <reference field="2" count="1" selected="0">
            <x v="3"/>
          </reference>
        </references>
      </pivotArea>
    </chartFormat>
    <chartFormat chart="36" format="81">
      <pivotArea type="data" outline="0" fieldPosition="0">
        <references count="2">
          <reference field="4294967294" count="1" selected="0">
            <x v="0"/>
          </reference>
          <reference field="2" count="1" selected="0">
            <x v="1"/>
          </reference>
        </references>
      </pivotArea>
    </chartFormat>
    <chartFormat chart="36" format="82">
      <pivotArea type="data" outline="0" fieldPosition="0">
        <references count="2">
          <reference field="4294967294" count="1" selected="0">
            <x v="0"/>
          </reference>
          <reference field="2" count="1" selected="0">
            <x v="5"/>
          </reference>
        </references>
      </pivotArea>
    </chartFormat>
    <chartFormat chart="36" format="83">
      <pivotArea type="data" outline="0" fieldPosition="0">
        <references count="2">
          <reference field="4294967294" count="1" selected="0">
            <x v="0"/>
          </reference>
          <reference field="2" count="1" selected="0">
            <x v="9"/>
          </reference>
        </references>
      </pivotArea>
    </chartFormat>
    <chartFormat chart="36" format="84">
      <pivotArea type="data" outline="0" fieldPosition="0">
        <references count="2">
          <reference field="4294967294" count="1" selected="0">
            <x v="0"/>
          </reference>
          <reference field="2" count="1" selected="0">
            <x v="8"/>
          </reference>
        </references>
      </pivotArea>
    </chartFormat>
    <chartFormat chart="36" format="85">
      <pivotArea type="data" outline="0" fieldPosition="0">
        <references count="2">
          <reference field="4294967294" count="1" selected="0">
            <x v="0"/>
          </reference>
          <reference field="2" count="1" selected="0">
            <x v="6"/>
          </reference>
        </references>
      </pivotArea>
    </chartFormat>
    <chartFormat chart="36" format="86">
      <pivotArea type="data" outline="0" fieldPosition="0">
        <references count="2">
          <reference field="4294967294" count="1" selected="0">
            <x v="0"/>
          </reference>
          <reference field="2" count="1" selected="0">
            <x v="0"/>
          </reference>
        </references>
      </pivotArea>
    </chartFormat>
    <chartFormat chart="36" format="87">
      <pivotArea type="data" outline="0" fieldPosition="0">
        <references count="2">
          <reference field="4294967294" count="1" selected="0">
            <x v="0"/>
          </reference>
          <reference field="2" count="1" selected="0">
            <x v="2"/>
          </reference>
        </references>
      </pivotArea>
    </chartFormat>
    <chartFormat chart="36" format="88">
      <pivotArea type="data" outline="0" fieldPosition="0">
        <references count="2">
          <reference field="4294967294" count="1" selected="0">
            <x v="0"/>
          </reference>
          <reference field="2" count="1" selected="0">
            <x v="11"/>
          </reference>
        </references>
      </pivotArea>
    </chartFormat>
    <chartFormat chart="36" format="89">
      <pivotArea type="data" outline="0" fieldPosition="0">
        <references count="2">
          <reference field="4294967294" count="1" selected="0">
            <x v="0"/>
          </reference>
          <reference field="2" count="1" selected="0">
            <x v="10"/>
          </reference>
        </references>
      </pivotArea>
    </chartFormat>
    <chartFormat chart="36" format="90">
      <pivotArea type="data" outline="0" fieldPosition="0">
        <references count="2">
          <reference field="4294967294" count="1" selected="0">
            <x v="0"/>
          </reference>
          <reference field="2" count="1" selected="0">
            <x v="7"/>
          </reference>
        </references>
      </pivotArea>
    </chartFormat>
    <chartFormat chart="37" format="78" series="1">
      <pivotArea type="data" outline="0" fieldPosition="0">
        <references count="1">
          <reference field="4294967294" count="1" selected="0">
            <x v="0"/>
          </reference>
        </references>
      </pivotArea>
    </chartFormat>
    <chartFormat chart="37" format="79">
      <pivotArea type="data" outline="0" fieldPosition="0">
        <references count="2">
          <reference field="4294967294" count="1" selected="0">
            <x v="0"/>
          </reference>
          <reference field="2" count="1" selected="0">
            <x v="4"/>
          </reference>
        </references>
      </pivotArea>
    </chartFormat>
    <chartFormat chart="37" format="80">
      <pivotArea type="data" outline="0" fieldPosition="0">
        <references count="2">
          <reference field="4294967294" count="1" selected="0">
            <x v="0"/>
          </reference>
          <reference field="2" count="1" selected="0">
            <x v="3"/>
          </reference>
        </references>
      </pivotArea>
    </chartFormat>
    <chartFormat chart="37" format="81">
      <pivotArea type="data" outline="0" fieldPosition="0">
        <references count="2">
          <reference field="4294967294" count="1" selected="0">
            <x v="0"/>
          </reference>
          <reference field="2" count="1" selected="0">
            <x v="1"/>
          </reference>
        </references>
      </pivotArea>
    </chartFormat>
    <chartFormat chart="37" format="82">
      <pivotArea type="data" outline="0" fieldPosition="0">
        <references count="2">
          <reference field="4294967294" count="1" selected="0">
            <x v="0"/>
          </reference>
          <reference field="2" count="1" selected="0">
            <x v="5"/>
          </reference>
        </references>
      </pivotArea>
    </chartFormat>
    <chartFormat chart="37" format="83">
      <pivotArea type="data" outline="0" fieldPosition="0">
        <references count="2">
          <reference field="4294967294" count="1" selected="0">
            <x v="0"/>
          </reference>
          <reference field="2" count="1" selected="0">
            <x v="9"/>
          </reference>
        </references>
      </pivotArea>
    </chartFormat>
    <chartFormat chart="37" format="84">
      <pivotArea type="data" outline="0" fieldPosition="0">
        <references count="2">
          <reference field="4294967294" count="1" selected="0">
            <x v="0"/>
          </reference>
          <reference field="2" count="1" selected="0">
            <x v="8"/>
          </reference>
        </references>
      </pivotArea>
    </chartFormat>
    <chartFormat chart="37" format="85">
      <pivotArea type="data" outline="0" fieldPosition="0">
        <references count="2">
          <reference field="4294967294" count="1" selected="0">
            <x v="0"/>
          </reference>
          <reference field="2" count="1" selected="0">
            <x v="6"/>
          </reference>
        </references>
      </pivotArea>
    </chartFormat>
    <chartFormat chart="37" format="86">
      <pivotArea type="data" outline="0" fieldPosition="0">
        <references count="2">
          <reference field="4294967294" count="1" selected="0">
            <x v="0"/>
          </reference>
          <reference field="2" count="1" selected="0">
            <x v="0"/>
          </reference>
        </references>
      </pivotArea>
    </chartFormat>
    <chartFormat chart="37" format="87">
      <pivotArea type="data" outline="0" fieldPosition="0">
        <references count="2">
          <reference field="4294967294" count="1" selected="0">
            <x v="0"/>
          </reference>
          <reference field="2" count="1" selected="0">
            <x v="2"/>
          </reference>
        </references>
      </pivotArea>
    </chartFormat>
    <chartFormat chart="37" format="88">
      <pivotArea type="data" outline="0" fieldPosition="0">
        <references count="2">
          <reference field="4294967294" count="1" selected="0">
            <x v="0"/>
          </reference>
          <reference field="2" count="1" selected="0">
            <x v="11"/>
          </reference>
        </references>
      </pivotArea>
    </chartFormat>
    <chartFormat chart="37" format="89">
      <pivotArea type="data" outline="0" fieldPosition="0">
        <references count="2">
          <reference field="4294967294" count="1" selected="0">
            <x v="0"/>
          </reference>
          <reference field="2" count="1" selected="0">
            <x v="10"/>
          </reference>
        </references>
      </pivotArea>
    </chartFormat>
    <chartFormat chart="37" format="90">
      <pivotArea type="data" outline="0" fieldPosition="0">
        <references count="2">
          <reference field="4294967294" count="1" selected="0">
            <x v="0"/>
          </reference>
          <reference field="2" count="1" selected="0">
            <x v="7"/>
          </reference>
        </references>
      </pivotArea>
    </chartFormat>
    <chartFormat chart="39" format="91" series="1">
      <pivotArea type="data" outline="0" fieldPosition="0">
        <references count="1">
          <reference field="4294967294" count="1" selected="0">
            <x v="0"/>
          </reference>
        </references>
      </pivotArea>
    </chartFormat>
    <chartFormat chart="39" format="92">
      <pivotArea type="data" outline="0" fieldPosition="0">
        <references count="2">
          <reference field="4294967294" count="1" selected="0">
            <x v="0"/>
          </reference>
          <reference field="2" count="1" selected="0">
            <x v="4"/>
          </reference>
        </references>
      </pivotArea>
    </chartFormat>
    <chartFormat chart="39" format="93">
      <pivotArea type="data" outline="0" fieldPosition="0">
        <references count="2">
          <reference field="4294967294" count="1" selected="0">
            <x v="0"/>
          </reference>
          <reference field="2" count="1" selected="0">
            <x v="3"/>
          </reference>
        </references>
      </pivotArea>
    </chartFormat>
    <chartFormat chart="39" format="94">
      <pivotArea type="data" outline="0" fieldPosition="0">
        <references count="2">
          <reference field="4294967294" count="1" selected="0">
            <x v="0"/>
          </reference>
          <reference field="2" count="1" selected="0">
            <x v="1"/>
          </reference>
        </references>
      </pivotArea>
    </chartFormat>
    <chartFormat chart="39" format="95">
      <pivotArea type="data" outline="0" fieldPosition="0">
        <references count="2">
          <reference field="4294967294" count="1" selected="0">
            <x v="0"/>
          </reference>
          <reference field="2" count="1" selected="0">
            <x v="5"/>
          </reference>
        </references>
      </pivotArea>
    </chartFormat>
    <chartFormat chart="39" format="96">
      <pivotArea type="data" outline="0" fieldPosition="0">
        <references count="2">
          <reference field="4294967294" count="1" selected="0">
            <x v="0"/>
          </reference>
          <reference field="2" count="1" selected="0">
            <x v="9"/>
          </reference>
        </references>
      </pivotArea>
    </chartFormat>
    <chartFormat chart="39" format="97">
      <pivotArea type="data" outline="0" fieldPosition="0">
        <references count="2">
          <reference field="4294967294" count="1" selected="0">
            <x v="0"/>
          </reference>
          <reference field="2" count="1" selected="0">
            <x v="8"/>
          </reference>
        </references>
      </pivotArea>
    </chartFormat>
    <chartFormat chart="39" format="98">
      <pivotArea type="data" outline="0" fieldPosition="0">
        <references count="2">
          <reference field="4294967294" count="1" selected="0">
            <x v="0"/>
          </reference>
          <reference field="2" count="1" selected="0">
            <x v="6"/>
          </reference>
        </references>
      </pivotArea>
    </chartFormat>
    <chartFormat chart="39" format="99">
      <pivotArea type="data" outline="0" fieldPosition="0">
        <references count="2">
          <reference field="4294967294" count="1" selected="0">
            <x v="0"/>
          </reference>
          <reference field="2" count="1" selected="0">
            <x v="0"/>
          </reference>
        </references>
      </pivotArea>
    </chartFormat>
    <chartFormat chart="39" format="100">
      <pivotArea type="data" outline="0" fieldPosition="0">
        <references count="2">
          <reference field="4294967294" count="1" selected="0">
            <x v="0"/>
          </reference>
          <reference field="2" count="1" selected="0">
            <x v="2"/>
          </reference>
        </references>
      </pivotArea>
    </chartFormat>
    <chartFormat chart="39" format="101">
      <pivotArea type="data" outline="0" fieldPosition="0">
        <references count="2">
          <reference field="4294967294" count="1" selected="0">
            <x v="0"/>
          </reference>
          <reference field="2" count="1" selected="0">
            <x v="11"/>
          </reference>
        </references>
      </pivotArea>
    </chartFormat>
    <chartFormat chart="39" format="102">
      <pivotArea type="data" outline="0" fieldPosition="0">
        <references count="2">
          <reference field="4294967294" count="1" selected="0">
            <x v="0"/>
          </reference>
          <reference field="2" count="1" selected="0">
            <x v="10"/>
          </reference>
        </references>
      </pivotArea>
    </chartFormat>
    <chartFormat chart="39" format="103">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Item Type">
  <location ref="D33:E34" firstHeaderRow="1" firstDataRow="1" firstDataCol="1"/>
  <pivotFields count="15">
    <pivotField showAll="0">
      <items count="9">
        <item x="4"/>
        <item x="1"/>
        <item x="3"/>
        <item x="2"/>
        <item x="0"/>
        <item x="6"/>
        <item x="5"/>
        <item h="1" x="7"/>
        <item t="default"/>
      </items>
    </pivotField>
    <pivotField showAll="0"/>
    <pivotField axis="axisRow" showAll="0">
      <items count="14">
        <item x="3"/>
        <item h="1" x="10"/>
        <item h="1" x="4"/>
        <item h="1" x="5"/>
        <item h="1" x="0"/>
        <item h="1" x="11"/>
        <item h="1" x="1"/>
        <item h="1" x="8"/>
        <item h="1" x="2"/>
        <item h="1" x="9"/>
        <item h="1" x="7"/>
        <item h="1" x="6"/>
        <item h="1" x="12"/>
        <item t="default"/>
      </items>
    </pivotField>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pivotField showAll="0"/>
    <pivotField dataField="1" showAll="0"/>
  </pivotFields>
  <rowFields count="1">
    <field x="2"/>
  </rowFields>
  <rowItems count="1">
    <i>
      <x/>
    </i>
  </rowItems>
  <colItems count="1">
    <i/>
  </colItems>
  <dataFields count="1">
    <dataField name="Sum of Total Profit" fld="14" baseField="2" baseItem="0" numFmtId="166"/>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Order Priority">
  <location ref="H12:H13" firstHeaderRow="1" firstDataRow="1" firstDataCol="0"/>
  <pivotFields count="15">
    <pivotField showAll="0">
      <items count="9">
        <item x="4"/>
        <item x="1"/>
        <item x="3"/>
        <item x="2"/>
        <item x="0"/>
        <item x="6"/>
        <item x="5"/>
        <item h="1" x="7"/>
        <item t="default"/>
      </items>
    </pivotField>
    <pivotField showAll="0"/>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dataField="1" showAll="0">
      <items count="101">
        <item x="94"/>
        <item x="92"/>
        <item x="95"/>
        <item x="85"/>
        <item x="98"/>
        <item x="97"/>
        <item x="83"/>
        <item x="82"/>
        <item x="74"/>
        <item x="77"/>
        <item x="62"/>
        <item x="73"/>
        <item x="75"/>
        <item x="70"/>
        <item x="49"/>
        <item x="57"/>
        <item x="47"/>
        <item x="53"/>
        <item x="58"/>
        <item x="84"/>
        <item x="96"/>
        <item x="72"/>
        <item x="59"/>
        <item x="43"/>
        <item x="54"/>
        <item x="35"/>
        <item x="44"/>
        <item x="50"/>
        <item x="80"/>
        <item x="38"/>
        <item x="52"/>
        <item x="55"/>
        <item x="93"/>
        <item x="25"/>
        <item x="34"/>
        <item x="45"/>
        <item x="56"/>
        <item x="48"/>
        <item x="23"/>
        <item x="17"/>
        <item x="19"/>
        <item x="81"/>
        <item x="36"/>
        <item x="51"/>
        <item x="71"/>
        <item x="26"/>
        <item x="24"/>
        <item x="69"/>
        <item x="79"/>
        <item x="14"/>
        <item x="91"/>
        <item x="78"/>
        <item x="42"/>
        <item x="22"/>
        <item x="32"/>
        <item x="76"/>
        <item x="66"/>
        <item x="90"/>
        <item x="46"/>
        <item x="39"/>
        <item x="63"/>
        <item x="37"/>
        <item x="89"/>
        <item x="61"/>
        <item x="60"/>
        <item x="40"/>
        <item x="11"/>
        <item x="28"/>
        <item x="15"/>
        <item x="9"/>
        <item x="10"/>
        <item x="8"/>
        <item x="7"/>
        <item x="41"/>
        <item x="31"/>
        <item x="21"/>
        <item x="88"/>
        <item x="30"/>
        <item x="29"/>
        <item x="5"/>
        <item x="33"/>
        <item x="87"/>
        <item x="68"/>
        <item x="6"/>
        <item x="27"/>
        <item x="12"/>
        <item x="16"/>
        <item x="18"/>
        <item x="3"/>
        <item x="67"/>
        <item x="2"/>
        <item x="4"/>
        <item x="65"/>
        <item x="64"/>
        <item x="86"/>
        <item x="1"/>
        <item x="0"/>
        <item x="20"/>
        <item x="13"/>
        <item x="99"/>
        <item t="default"/>
      </items>
    </pivotField>
    <pivotField showAll="0"/>
    <pivotField showAll="0"/>
    <pivotField showAll="0">
      <items count="102">
        <item x="99"/>
        <item x="98"/>
        <item x="95"/>
        <item x="97"/>
        <item x="96"/>
        <item x="93"/>
        <item x="94"/>
        <item x="92"/>
        <item x="91"/>
        <item x="90"/>
        <item x="89"/>
        <item x="88"/>
        <item x="87"/>
        <item x="83"/>
        <item x="84"/>
        <item x="85"/>
        <item x="71"/>
        <item x="86"/>
        <item x="78"/>
        <item x="82"/>
        <item x="76"/>
        <item x="80"/>
        <item x="81"/>
        <item x="60"/>
        <item x="79"/>
        <item x="77"/>
        <item x="74"/>
        <item x="73"/>
        <item x="52"/>
        <item x="69"/>
        <item x="72"/>
        <item x="70"/>
        <item x="68"/>
        <item x="59"/>
        <item x="66"/>
        <item x="65"/>
        <item x="48"/>
        <item x="67"/>
        <item x="64"/>
        <item x="62"/>
        <item x="61"/>
        <item x="55"/>
        <item x="54"/>
        <item x="42"/>
        <item x="75"/>
        <item x="56"/>
        <item x="39"/>
        <item x="37"/>
        <item x="58"/>
        <item x="49"/>
        <item x="50"/>
        <item x="47"/>
        <item x="31"/>
        <item x="63"/>
        <item x="45"/>
        <item x="30"/>
        <item x="29"/>
        <item x="27"/>
        <item x="40"/>
        <item x="20"/>
        <item x="41"/>
        <item x="57"/>
        <item x="36"/>
        <item x="35"/>
        <item x="33"/>
        <item x="53"/>
        <item x="28"/>
        <item x="32"/>
        <item x="43"/>
        <item x="18"/>
        <item x="21"/>
        <item x="44"/>
        <item x="17"/>
        <item x="51"/>
        <item x="16"/>
        <item x="38"/>
        <item x="46"/>
        <item x="13"/>
        <item x="25"/>
        <item x="34"/>
        <item x="23"/>
        <item x="11"/>
        <item x="19"/>
        <item x="9"/>
        <item x="8"/>
        <item x="7"/>
        <item x="26"/>
        <item x="24"/>
        <item x="5"/>
        <item x="14"/>
        <item x="22"/>
        <item x="3"/>
        <item x="2"/>
        <item x="1"/>
        <item x="0"/>
        <item x="15"/>
        <item x="10"/>
        <item x="12"/>
        <item x="6"/>
        <item x="4"/>
        <item x="100"/>
        <item t="default"/>
      </items>
    </pivotField>
    <pivotField showAll="0">
      <items count="102">
        <item x="99"/>
        <item x="98"/>
        <item x="95"/>
        <item x="97"/>
        <item x="96"/>
        <item x="93"/>
        <item x="94"/>
        <item x="83"/>
        <item x="92"/>
        <item x="91"/>
        <item x="90"/>
        <item x="89"/>
        <item x="88"/>
        <item x="71"/>
        <item x="87"/>
        <item x="84"/>
        <item x="60"/>
        <item x="78"/>
        <item x="85"/>
        <item x="52"/>
        <item x="76"/>
        <item x="86"/>
        <item x="82"/>
        <item x="48"/>
        <item x="80"/>
        <item x="81"/>
        <item x="79"/>
        <item x="77"/>
        <item x="42"/>
        <item x="74"/>
        <item x="39"/>
        <item x="73"/>
        <item x="37"/>
        <item x="59"/>
        <item x="69"/>
        <item x="31"/>
        <item x="72"/>
        <item x="68"/>
        <item x="30"/>
        <item x="29"/>
        <item x="70"/>
        <item x="27"/>
        <item x="66"/>
        <item x="65"/>
        <item x="67"/>
        <item x="54"/>
        <item x="55"/>
        <item x="64"/>
        <item x="20"/>
        <item x="62"/>
        <item x="61"/>
        <item x="56"/>
        <item x="49"/>
        <item x="50"/>
        <item x="45"/>
        <item x="47"/>
        <item x="58"/>
        <item x="75"/>
        <item x="40"/>
        <item x="63"/>
        <item x="41"/>
        <item x="33"/>
        <item x="35"/>
        <item x="36"/>
        <item x="28"/>
        <item x="32"/>
        <item x="57"/>
        <item x="18"/>
        <item x="53"/>
        <item x="17"/>
        <item x="21"/>
        <item x="43"/>
        <item x="16"/>
        <item x="44"/>
        <item x="13"/>
        <item x="11"/>
        <item x="51"/>
        <item x="38"/>
        <item x="9"/>
        <item x="8"/>
        <item x="7"/>
        <item x="25"/>
        <item x="5"/>
        <item x="34"/>
        <item x="23"/>
        <item x="46"/>
        <item x="19"/>
        <item x="3"/>
        <item x="2"/>
        <item x="1"/>
        <item x="0"/>
        <item x="26"/>
        <item x="24"/>
        <item x="14"/>
        <item x="22"/>
        <item x="10"/>
        <item x="15"/>
        <item x="6"/>
        <item x="12"/>
        <item x="4"/>
        <item x="100"/>
        <item t="default"/>
      </items>
    </pivotField>
    <pivotField showAll="0">
      <items count="102">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0"/>
        <item t="default"/>
      </items>
    </pivotField>
  </pivotFields>
  <rowItems count="1">
    <i/>
  </rowItems>
  <colItems count="1">
    <i/>
  </colItems>
  <dataFields count="1">
    <dataField name="Sum of Units Sold" fld="9" baseField="0" baseItem="0" numFmtId="167"/>
  </dataFields>
  <formats count="2">
    <format dxfId="16">
      <pivotArea dataOnly="0" labelOnly="1" outline="0" axis="axisValues" fieldPosition="0"/>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rowHeaderCaption="Region">
  <location ref="D28:E29" firstHeaderRow="1" firstDataRow="1" firstDataCol="1"/>
  <pivotFields count="15">
    <pivotField axis="axisRow" showAll="0">
      <items count="9">
        <item h="1" x="4"/>
        <item h="1" x="1"/>
        <item h="1" x="3"/>
        <item h="1" x="2"/>
        <item h="1" x="0"/>
        <item h="1" x="6"/>
        <item x="5"/>
        <item h="1" x="7"/>
        <item t="default"/>
      </items>
    </pivotField>
    <pivotField showAll="0"/>
    <pivotField dataField="1"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pivotField showAll="0"/>
    <pivotField showAll="0"/>
  </pivotFields>
  <rowFields count="1">
    <field x="0"/>
  </rowFields>
  <rowItems count="1">
    <i>
      <x v="6"/>
    </i>
  </rowItems>
  <colItems count="1">
    <i/>
  </colItems>
  <dataFields count="1">
    <dataField name="Count of Item Type" fld="2" subtotal="count" baseField="0" baseItem="0" numFmtId="1"/>
  </dataFields>
  <formats count="2">
    <format dxfId="18">
      <pivotArea dataOnly="0" labelOnly="1" outline="0" axis="axisValues" fieldPosition="0"/>
    </format>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4" rowHeaderCaption="Sales Channel">
  <location ref="K19:K20" firstHeaderRow="1" firstDataRow="1" firstDataCol="0"/>
  <pivotFields count="15">
    <pivotField showAll="0">
      <items count="9">
        <item x="4"/>
        <item x="1"/>
        <item x="3"/>
        <item x="2"/>
        <item x="0"/>
        <item x="6"/>
        <item x="5"/>
        <item h="1" x="7"/>
        <item t="default"/>
      </items>
    </pivotField>
    <pivotField showAll="0"/>
    <pivotField showAll="0"/>
    <pivotField showAll="0">
      <items count="4">
        <item x="0"/>
        <item x="1"/>
        <item h="1" x="2"/>
        <item t="default"/>
      </items>
    </pivotField>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dataField="1" showAll="0">
      <items count="102">
        <item x="52"/>
        <item x="24"/>
        <item x="56"/>
        <item x="23"/>
        <item x="97"/>
        <item x="44"/>
        <item x="94"/>
        <item x="12"/>
        <item x="22"/>
        <item x="6"/>
        <item x="68"/>
        <item x="27"/>
        <item x="34"/>
        <item x="19"/>
        <item x="66"/>
        <item x="39"/>
        <item x="58"/>
        <item x="0"/>
        <item x="65"/>
        <item x="3"/>
        <item x="8"/>
        <item x="11"/>
        <item x="15"/>
        <item x="46"/>
        <item x="2"/>
        <item x="57"/>
        <item x="82"/>
        <item x="92"/>
        <item x="7"/>
        <item x="60"/>
        <item x="85"/>
        <item x="9"/>
        <item x="53"/>
        <item x="61"/>
        <item x="80"/>
        <item x="25"/>
        <item x="38"/>
        <item x="84"/>
        <item x="62"/>
        <item x="26"/>
        <item x="32"/>
        <item x="49"/>
        <item x="89"/>
        <item x="83"/>
        <item x="99"/>
        <item x="88"/>
        <item x="79"/>
        <item x="4"/>
        <item x="50"/>
        <item x="18"/>
        <item x="67"/>
        <item x="36"/>
        <item x="77"/>
        <item x="31"/>
        <item x="28"/>
        <item x="96"/>
        <item x="75"/>
        <item x="20"/>
        <item x="5"/>
        <item x="29"/>
        <item x="14"/>
        <item x="13"/>
        <item x="1"/>
        <item x="91"/>
        <item x="16"/>
        <item x="81"/>
        <item x="17"/>
        <item x="37"/>
        <item x="76"/>
        <item x="70"/>
        <item x="41"/>
        <item x="93"/>
        <item x="64"/>
        <item x="30"/>
        <item x="55"/>
        <item x="73"/>
        <item x="42"/>
        <item x="90"/>
        <item x="95"/>
        <item x="98"/>
        <item x="21"/>
        <item x="51"/>
        <item x="40"/>
        <item x="72"/>
        <item x="63"/>
        <item x="45"/>
        <item x="74"/>
        <item x="35"/>
        <item x="33"/>
        <item x="43"/>
        <item x="47"/>
        <item x="78"/>
        <item x="87"/>
        <item x="48"/>
        <item x="86"/>
        <item x="69"/>
        <item x="54"/>
        <item x="71"/>
        <item x="10"/>
        <item x="59"/>
        <item x="100"/>
        <item t="default"/>
      </items>
    </pivotField>
    <pivotField showAll="0" defaultSubtotal="0"/>
    <pivotField showAll="0"/>
    <pivotField showAll="0"/>
    <pivotField showAll="0"/>
    <pivotField showAll="0"/>
    <pivotField showAll="0"/>
    <pivotField showAll="0"/>
    <pivotField showAll="0"/>
  </pivotFields>
  <rowItems count="1">
    <i/>
  </rowItems>
  <colItems count="1">
    <i/>
  </colItems>
  <dataFields count="1">
    <dataField name="Count of Order ID"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Order Priority">
  <location ref="H9:H10" firstHeaderRow="1" firstDataRow="1" firstDataCol="0"/>
  <pivotFields count="15">
    <pivotField showAll="0">
      <items count="9">
        <item x="4"/>
        <item x="1"/>
        <item x="3"/>
        <item x="2"/>
        <item x="0"/>
        <item x="6"/>
        <item x="5"/>
        <item h="1" x="7"/>
        <item t="default"/>
      </items>
    </pivotField>
    <pivotField showAll="0"/>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items count="102">
        <item x="99"/>
        <item x="98"/>
        <item x="95"/>
        <item x="97"/>
        <item x="96"/>
        <item x="93"/>
        <item x="94"/>
        <item x="92"/>
        <item x="91"/>
        <item x="90"/>
        <item x="89"/>
        <item x="88"/>
        <item x="87"/>
        <item x="83"/>
        <item x="84"/>
        <item x="85"/>
        <item x="71"/>
        <item x="86"/>
        <item x="78"/>
        <item x="82"/>
        <item x="76"/>
        <item x="80"/>
        <item x="81"/>
        <item x="60"/>
        <item x="79"/>
        <item x="77"/>
        <item x="74"/>
        <item x="73"/>
        <item x="52"/>
        <item x="69"/>
        <item x="72"/>
        <item x="70"/>
        <item x="68"/>
        <item x="59"/>
        <item x="66"/>
        <item x="65"/>
        <item x="48"/>
        <item x="67"/>
        <item x="64"/>
        <item x="62"/>
        <item x="61"/>
        <item x="55"/>
        <item x="54"/>
        <item x="42"/>
        <item x="75"/>
        <item x="56"/>
        <item x="39"/>
        <item x="37"/>
        <item x="58"/>
        <item x="49"/>
        <item x="50"/>
        <item x="47"/>
        <item x="31"/>
        <item x="63"/>
        <item x="45"/>
        <item x="30"/>
        <item x="29"/>
        <item x="27"/>
        <item x="40"/>
        <item x="20"/>
        <item x="41"/>
        <item x="57"/>
        <item x="36"/>
        <item x="35"/>
        <item x="33"/>
        <item x="53"/>
        <item x="28"/>
        <item x="32"/>
        <item x="43"/>
        <item x="18"/>
        <item x="21"/>
        <item x="44"/>
        <item x="17"/>
        <item x="51"/>
        <item x="16"/>
        <item x="38"/>
        <item x="46"/>
        <item x="13"/>
        <item x="25"/>
        <item x="34"/>
        <item x="23"/>
        <item x="11"/>
        <item x="19"/>
        <item x="9"/>
        <item x="8"/>
        <item x="7"/>
        <item x="26"/>
        <item x="24"/>
        <item x="5"/>
        <item x="14"/>
        <item x="22"/>
        <item x="3"/>
        <item x="2"/>
        <item x="1"/>
        <item x="0"/>
        <item x="15"/>
        <item x="10"/>
        <item x="12"/>
        <item x="6"/>
        <item x="4"/>
        <item x="100"/>
        <item t="default"/>
      </items>
    </pivotField>
    <pivotField showAll="0">
      <items count="102">
        <item x="99"/>
        <item x="98"/>
        <item x="95"/>
        <item x="97"/>
        <item x="96"/>
        <item x="93"/>
        <item x="94"/>
        <item x="83"/>
        <item x="92"/>
        <item x="91"/>
        <item x="90"/>
        <item x="89"/>
        <item x="88"/>
        <item x="71"/>
        <item x="87"/>
        <item x="84"/>
        <item x="60"/>
        <item x="78"/>
        <item x="85"/>
        <item x="52"/>
        <item x="76"/>
        <item x="86"/>
        <item x="82"/>
        <item x="48"/>
        <item x="80"/>
        <item x="81"/>
        <item x="79"/>
        <item x="77"/>
        <item x="42"/>
        <item x="74"/>
        <item x="39"/>
        <item x="73"/>
        <item x="37"/>
        <item x="59"/>
        <item x="69"/>
        <item x="31"/>
        <item x="72"/>
        <item x="68"/>
        <item x="30"/>
        <item x="29"/>
        <item x="70"/>
        <item x="27"/>
        <item x="66"/>
        <item x="65"/>
        <item x="67"/>
        <item x="54"/>
        <item x="55"/>
        <item x="64"/>
        <item x="20"/>
        <item x="62"/>
        <item x="61"/>
        <item x="56"/>
        <item x="49"/>
        <item x="50"/>
        <item x="45"/>
        <item x="47"/>
        <item x="58"/>
        <item x="75"/>
        <item x="40"/>
        <item x="63"/>
        <item x="41"/>
        <item x="33"/>
        <item x="35"/>
        <item x="36"/>
        <item x="28"/>
        <item x="32"/>
        <item x="57"/>
        <item x="18"/>
        <item x="53"/>
        <item x="17"/>
        <item x="21"/>
        <item x="43"/>
        <item x="16"/>
        <item x="44"/>
        <item x="13"/>
        <item x="11"/>
        <item x="51"/>
        <item x="38"/>
        <item x="9"/>
        <item x="8"/>
        <item x="7"/>
        <item x="25"/>
        <item x="5"/>
        <item x="34"/>
        <item x="23"/>
        <item x="46"/>
        <item x="19"/>
        <item x="3"/>
        <item x="2"/>
        <item x="1"/>
        <item x="0"/>
        <item x="26"/>
        <item x="24"/>
        <item x="14"/>
        <item x="22"/>
        <item x="10"/>
        <item x="15"/>
        <item x="6"/>
        <item x="12"/>
        <item x="4"/>
        <item x="100"/>
        <item t="default"/>
      </items>
    </pivotField>
    <pivotField dataField="1" showAll="0">
      <items count="102">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0"/>
        <item t="default"/>
      </items>
    </pivotField>
  </pivotFields>
  <rowItems count="1">
    <i/>
  </rowItems>
  <colItems count="1">
    <i/>
  </colItems>
  <dataFields count="1">
    <dataField name="Sum of Total Profit" fld="14" baseField="0" baseItem="0"/>
  </dataFields>
  <formats count="2">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Order Priority">
  <location ref="H3:H4" firstHeaderRow="1" firstDataRow="1" firstDataCol="0"/>
  <pivotFields count="15">
    <pivotField showAll="0">
      <items count="9">
        <item x="4"/>
        <item x="1"/>
        <item x="3"/>
        <item x="2"/>
        <item x="0"/>
        <item x="6"/>
        <item x="5"/>
        <item h="1" x="7"/>
        <item t="default"/>
      </items>
    </pivotField>
    <pivotField showAll="0"/>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dataField="1" showAll="0">
      <items count="102">
        <item x="99"/>
        <item x="98"/>
        <item x="95"/>
        <item x="97"/>
        <item x="96"/>
        <item x="93"/>
        <item x="94"/>
        <item x="92"/>
        <item x="91"/>
        <item x="90"/>
        <item x="89"/>
        <item x="88"/>
        <item x="87"/>
        <item x="83"/>
        <item x="84"/>
        <item x="85"/>
        <item x="71"/>
        <item x="86"/>
        <item x="78"/>
        <item x="82"/>
        <item x="76"/>
        <item x="80"/>
        <item x="81"/>
        <item x="60"/>
        <item x="79"/>
        <item x="77"/>
        <item x="74"/>
        <item x="73"/>
        <item x="52"/>
        <item x="69"/>
        <item x="72"/>
        <item x="70"/>
        <item x="68"/>
        <item x="59"/>
        <item x="66"/>
        <item x="65"/>
        <item x="48"/>
        <item x="67"/>
        <item x="64"/>
        <item x="62"/>
        <item x="61"/>
        <item x="55"/>
        <item x="54"/>
        <item x="42"/>
        <item x="75"/>
        <item x="56"/>
        <item x="39"/>
        <item x="37"/>
        <item x="58"/>
        <item x="49"/>
        <item x="50"/>
        <item x="47"/>
        <item x="31"/>
        <item x="63"/>
        <item x="45"/>
        <item x="30"/>
        <item x="29"/>
        <item x="27"/>
        <item x="40"/>
        <item x="20"/>
        <item x="41"/>
        <item x="57"/>
        <item x="36"/>
        <item x="35"/>
        <item x="33"/>
        <item x="53"/>
        <item x="28"/>
        <item x="32"/>
        <item x="43"/>
        <item x="18"/>
        <item x="21"/>
        <item x="44"/>
        <item x="17"/>
        <item x="51"/>
        <item x="16"/>
        <item x="38"/>
        <item x="46"/>
        <item x="13"/>
        <item x="25"/>
        <item x="34"/>
        <item x="23"/>
        <item x="11"/>
        <item x="19"/>
        <item x="9"/>
        <item x="8"/>
        <item x="7"/>
        <item x="26"/>
        <item x="24"/>
        <item x="5"/>
        <item x="14"/>
        <item x="22"/>
        <item x="3"/>
        <item x="2"/>
        <item x="1"/>
        <item x="0"/>
        <item x="15"/>
        <item x="10"/>
        <item x="12"/>
        <item x="6"/>
        <item x="4"/>
        <item x="100"/>
        <item t="default"/>
      </items>
    </pivotField>
    <pivotField showAll="0"/>
    <pivotField showAll="0"/>
  </pivotFields>
  <rowItems count="1">
    <i/>
  </rowItems>
  <colItems count="1">
    <i/>
  </colItems>
  <dataFields count="1">
    <dataField name="Sum of Total Revenue" fld="12" baseField="0" baseItem="0"/>
  </dataFields>
  <formats count="2">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Order Priority">
  <location ref="D38:E39" firstHeaderRow="1" firstDataRow="1" firstDataCol="1"/>
  <pivotFields count="15">
    <pivotField showAll="0">
      <items count="9">
        <item x="4"/>
        <item x="1"/>
        <item x="3"/>
        <item x="2"/>
        <item x="0"/>
        <item x="6"/>
        <item x="5"/>
        <item h="1" x="7"/>
        <item t="default"/>
      </items>
    </pivotField>
    <pivotField showAll="0"/>
    <pivotField showAll="0"/>
    <pivotField showAll="0"/>
    <pivotField axis="axisRow" showAll="0">
      <items count="6">
        <item h="1" x="2"/>
        <item x="1"/>
        <item h="1" x="0"/>
        <item h="1" x="3"/>
        <item h="1"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pivotField dataField="1" showAll="0"/>
    <pivotField showAll="0"/>
  </pivotFields>
  <rowFields count="1">
    <field x="4"/>
  </rowFields>
  <rowItems count="1">
    <i>
      <x v="1"/>
    </i>
  </rowItems>
  <colItems count="1">
    <i/>
  </colItems>
  <dataFields count="1">
    <dataField name="Sum of Total Cost" fld="13" baseField="4" baseItem="0" numFmtId="166"/>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54" rowHeaderCaption="Sales Channel">
  <location ref="D17:E19" firstHeaderRow="1" firstDataRow="1" firstDataCol="1"/>
  <pivotFields count="15">
    <pivotField showAll="0">
      <items count="9">
        <item x="4"/>
        <item x="1"/>
        <item x="3"/>
        <item x="2"/>
        <item x="0"/>
        <item x="6"/>
        <item x="5"/>
        <item h="1" x="7"/>
        <item t="default"/>
      </items>
    </pivotField>
    <pivotField showAll="0"/>
    <pivotField showAll="0"/>
    <pivotField axis="axisRow" dataField="1" showAll="0">
      <items count="4">
        <item x="0"/>
        <item x="1"/>
        <item h="1" x="2"/>
        <item t="default"/>
      </items>
    </pivotField>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Orders" fld="3" subtotal="count" baseField="3" baseItem="0"/>
  </dataFields>
  <chartFormats count="9">
    <chartFormat chart="50" format="0" series="1">
      <pivotArea type="data" outline="0" fieldPosition="0">
        <references count="1">
          <reference field="4294967294" count="1" selected="0">
            <x v="0"/>
          </reference>
        </references>
      </pivotArea>
    </chartFormat>
    <chartFormat chart="50" format="1">
      <pivotArea type="data" outline="0" fieldPosition="0">
        <references count="2">
          <reference field="4294967294" count="1" selected="0">
            <x v="0"/>
          </reference>
          <reference field="3" count="1" selected="0">
            <x v="0"/>
          </reference>
        </references>
      </pivotArea>
    </chartFormat>
    <chartFormat chart="50" format="2">
      <pivotArea type="data" outline="0" fieldPosition="0">
        <references count="2">
          <reference field="4294967294" count="1" selected="0">
            <x v="0"/>
          </reference>
          <reference field="3" count="1" selected="0">
            <x v="1"/>
          </reference>
        </references>
      </pivotArea>
    </chartFormat>
    <chartFormat chart="52" format="3" series="1">
      <pivotArea type="data" outline="0" fieldPosition="0">
        <references count="1">
          <reference field="4294967294" count="1" selected="0">
            <x v="0"/>
          </reference>
        </references>
      </pivotArea>
    </chartFormat>
    <chartFormat chart="52" format="4">
      <pivotArea type="data" outline="0" fieldPosition="0">
        <references count="2">
          <reference field="4294967294" count="1" selected="0">
            <x v="0"/>
          </reference>
          <reference field="3" count="1" selected="0">
            <x v="0"/>
          </reference>
        </references>
      </pivotArea>
    </chartFormat>
    <chartFormat chart="52" format="5">
      <pivotArea type="data" outline="0" fieldPosition="0">
        <references count="2">
          <reference field="4294967294" count="1" selected="0">
            <x v="0"/>
          </reference>
          <reference field="3" count="1" selected="0">
            <x v="1"/>
          </reference>
        </references>
      </pivotArea>
    </chartFormat>
    <chartFormat chart="53" format="6" series="1">
      <pivotArea type="data" outline="0" fieldPosition="0">
        <references count="1">
          <reference field="4294967294" count="1" selected="0">
            <x v="0"/>
          </reference>
        </references>
      </pivotArea>
    </chartFormat>
    <chartFormat chart="53" format="7">
      <pivotArea type="data" outline="0" fieldPosition="0">
        <references count="2">
          <reference field="4294967294" count="1" selected="0">
            <x v="0"/>
          </reference>
          <reference field="3" count="1" selected="0">
            <x v="0"/>
          </reference>
        </references>
      </pivotArea>
    </chartFormat>
    <chartFormat chart="5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Item Type">
  <location ref="D23:E24" firstHeaderRow="1" firstDataRow="1" firstDataCol="1"/>
  <pivotFields count="15">
    <pivotField showAll="0">
      <items count="9">
        <item x="4"/>
        <item x="1"/>
        <item x="3"/>
        <item x="2"/>
        <item x="0"/>
        <item x="6"/>
        <item x="5"/>
        <item h="1" x="7"/>
        <item t="default"/>
      </items>
    </pivotField>
    <pivotField showAll="0"/>
    <pivotField axis="axisRow" showAll="0">
      <items count="14">
        <item h="1" x="3"/>
        <item h="1" x="10"/>
        <item h="1" x="4"/>
        <item h="1" x="5"/>
        <item h="1" x="0"/>
        <item h="1" x="11"/>
        <item h="1" x="1"/>
        <item h="1" x="8"/>
        <item x="2"/>
        <item h="1" x="9"/>
        <item h="1" x="7"/>
        <item h="1" x="6"/>
        <item h="1" x="12"/>
        <item t="default"/>
      </items>
    </pivotField>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dataField="1" showAll="0"/>
    <pivotField showAll="0"/>
    <pivotField showAll="0"/>
    <pivotField showAll="0"/>
    <pivotField showAll="0"/>
  </pivotFields>
  <rowFields count="1">
    <field x="2"/>
  </rowFields>
  <rowItems count="1">
    <i>
      <x v="8"/>
    </i>
  </rowItems>
  <colItems count="1">
    <i/>
  </colItems>
  <dataFields count="1">
    <dataField name="Average of Unit Price" fld="10" subtotal="average" baseField="2" baseItem="8" numFmtId="166"/>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8" rowHeaderCaption="Item Type">
  <location ref="G17:H29" firstHeaderRow="1" firstDataRow="1" firstDataCol="1"/>
  <pivotFields count="15">
    <pivotField showAll="0">
      <items count="9">
        <item x="4"/>
        <item x="1"/>
        <item x="3"/>
        <item x="2"/>
        <item x="0"/>
        <item x="6"/>
        <item x="5"/>
        <item h="1" x="7"/>
        <item t="default"/>
      </items>
    </pivotField>
    <pivotField showAll="0"/>
    <pivotField axis="axisRow" showAll="0">
      <items count="14">
        <item x="3"/>
        <item x="10"/>
        <item x="4"/>
        <item x="5"/>
        <item x="0"/>
        <item x="11"/>
        <item x="1"/>
        <item x="8"/>
        <item x="2"/>
        <item x="9"/>
        <item x="7"/>
        <item x="6"/>
        <item h="1" x="12"/>
        <item t="default"/>
      </items>
    </pivotField>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pivotField showAll="0"/>
    <pivotField dataField="1" showAll="0">
      <items count="102">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00"/>
        <item t="default"/>
      </items>
    </pivotField>
  </pivotFields>
  <rowFields count="1">
    <field x="2"/>
  </rowFields>
  <rowItems count="12">
    <i>
      <x/>
    </i>
    <i>
      <x v="1"/>
    </i>
    <i>
      <x v="2"/>
    </i>
    <i>
      <x v="3"/>
    </i>
    <i>
      <x v="4"/>
    </i>
    <i>
      <x v="5"/>
    </i>
    <i>
      <x v="6"/>
    </i>
    <i>
      <x v="7"/>
    </i>
    <i>
      <x v="8"/>
    </i>
    <i>
      <x v="9"/>
    </i>
    <i>
      <x v="10"/>
    </i>
    <i>
      <x v="11"/>
    </i>
  </rowItems>
  <colItems count="1">
    <i/>
  </colItems>
  <dataFields count="1">
    <dataField name="Sum of Total Profit" fld="14" baseField="2" baseItem="2"/>
  </dataFields>
  <formats count="1">
    <format dxfId="26">
      <pivotArea outline="0" collapsedLevelsAreSubtotals="1" fieldPosition="0"/>
    </format>
  </formats>
  <chartFormats count="3">
    <chartFormat chart="40"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Order Priority">
  <location ref="H6:H7" firstHeaderRow="1" firstDataRow="1" firstDataCol="0"/>
  <pivotFields count="15">
    <pivotField showAll="0">
      <items count="9">
        <item x="4"/>
        <item x="1"/>
        <item x="3"/>
        <item x="2"/>
        <item x="0"/>
        <item x="6"/>
        <item x="5"/>
        <item h="1" x="7"/>
        <item t="default"/>
      </items>
    </pivotField>
    <pivotField showAll="0"/>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showAll="0">
      <items count="102">
        <item x="99"/>
        <item x="98"/>
        <item x="95"/>
        <item x="97"/>
        <item x="96"/>
        <item x="93"/>
        <item x="94"/>
        <item x="92"/>
        <item x="91"/>
        <item x="90"/>
        <item x="89"/>
        <item x="88"/>
        <item x="87"/>
        <item x="83"/>
        <item x="84"/>
        <item x="85"/>
        <item x="71"/>
        <item x="86"/>
        <item x="78"/>
        <item x="82"/>
        <item x="76"/>
        <item x="80"/>
        <item x="81"/>
        <item x="60"/>
        <item x="79"/>
        <item x="77"/>
        <item x="74"/>
        <item x="73"/>
        <item x="52"/>
        <item x="69"/>
        <item x="72"/>
        <item x="70"/>
        <item x="68"/>
        <item x="59"/>
        <item x="66"/>
        <item x="65"/>
        <item x="48"/>
        <item x="67"/>
        <item x="64"/>
        <item x="62"/>
        <item x="61"/>
        <item x="55"/>
        <item x="54"/>
        <item x="42"/>
        <item x="75"/>
        <item x="56"/>
        <item x="39"/>
        <item x="37"/>
        <item x="58"/>
        <item x="49"/>
        <item x="50"/>
        <item x="47"/>
        <item x="31"/>
        <item x="63"/>
        <item x="45"/>
        <item x="30"/>
        <item x="29"/>
        <item x="27"/>
        <item x="40"/>
        <item x="20"/>
        <item x="41"/>
        <item x="57"/>
        <item x="36"/>
        <item x="35"/>
        <item x="33"/>
        <item x="53"/>
        <item x="28"/>
        <item x="32"/>
        <item x="43"/>
        <item x="18"/>
        <item x="21"/>
        <item x="44"/>
        <item x="17"/>
        <item x="51"/>
        <item x="16"/>
        <item x="38"/>
        <item x="46"/>
        <item x="13"/>
        <item x="25"/>
        <item x="34"/>
        <item x="23"/>
        <item x="11"/>
        <item x="19"/>
        <item x="9"/>
        <item x="8"/>
        <item x="7"/>
        <item x="26"/>
        <item x="24"/>
        <item x="5"/>
        <item x="14"/>
        <item x="22"/>
        <item x="3"/>
        <item x="2"/>
        <item x="1"/>
        <item x="0"/>
        <item x="15"/>
        <item x="10"/>
        <item x="12"/>
        <item x="6"/>
        <item x="4"/>
        <item x="100"/>
        <item t="default"/>
      </items>
    </pivotField>
    <pivotField dataField="1" showAll="0">
      <items count="102">
        <item x="99"/>
        <item x="98"/>
        <item x="95"/>
        <item x="97"/>
        <item x="96"/>
        <item x="93"/>
        <item x="94"/>
        <item x="83"/>
        <item x="92"/>
        <item x="91"/>
        <item x="90"/>
        <item x="89"/>
        <item x="88"/>
        <item x="71"/>
        <item x="87"/>
        <item x="84"/>
        <item x="60"/>
        <item x="78"/>
        <item x="85"/>
        <item x="52"/>
        <item x="76"/>
        <item x="86"/>
        <item x="82"/>
        <item x="48"/>
        <item x="80"/>
        <item x="81"/>
        <item x="79"/>
        <item x="77"/>
        <item x="42"/>
        <item x="74"/>
        <item x="39"/>
        <item x="73"/>
        <item x="37"/>
        <item x="59"/>
        <item x="69"/>
        <item x="31"/>
        <item x="72"/>
        <item x="68"/>
        <item x="30"/>
        <item x="29"/>
        <item x="70"/>
        <item x="27"/>
        <item x="66"/>
        <item x="65"/>
        <item x="67"/>
        <item x="54"/>
        <item x="55"/>
        <item x="64"/>
        <item x="20"/>
        <item x="62"/>
        <item x="61"/>
        <item x="56"/>
        <item x="49"/>
        <item x="50"/>
        <item x="45"/>
        <item x="47"/>
        <item x="58"/>
        <item x="75"/>
        <item x="40"/>
        <item x="63"/>
        <item x="41"/>
        <item x="33"/>
        <item x="35"/>
        <item x="36"/>
        <item x="28"/>
        <item x="32"/>
        <item x="57"/>
        <item x="18"/>
        <item x="53"/>
        <item x="17"/>
        <item x="21"/>
        <item x="43"/>
        <item x="16"/>
        <item x="44"/>
        <item x="13"/>
        <item x="11"/>
        <item x="51"/>
        <item x="38"/>
        <item x="9"/>
        <item x="8"/>
        <item x="7"/>
        <item x="25"/>
        <item x="5"/>
        <item x="34"/>
        <item x="23"/>
        <item x="46"/>
        <item x="19"/>
        <item x="3"/>
        <item x="2"/>
        <item x="1"/>
        <item x="0"/>
        <item x="26"/>
        <item x="24"/>
        <item x="14"/>
        <item x="22"/>
        <item x="10"/>
        <item x="15"/>
        <item x="6"/>
        <item x="12"/>
        <item x="4"/>
        <item x="100"/>
        <item t="default"/>
      </items>
    </pivotField>
    <pivotField showAll="0"/>
  </pivotFields>
  <rowItems count="1">
    <i/>
  </rowItems>
  <colItems count="1">
    <i/>
  </colItems>
  <dataFields count="1">
    <dataField name="Sum of Total Cost" fld="13" baseField="0" baseItem="0"/>
  </dataFields>
  <formats count="2">
    <format dxfId="28">
      <pivotArea outline="0" collapsedLevelsAreSubtotals="1" fieldPosition="0"/>
    </format>
    <format dxfId="2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3" rowHeaderCaption="Region">
  <location ref="E3:F11" firstHeaderRow="1" firstDataRow="1" firstDataCol="1"/>
  <pivotFields count="15">
    <pivotField axis="axisRow" showAll="0">
      <items count="9">
        <item x="4"/>
        <item x="1"/>
        <item x="3"/>
        <item x="2"/>
        <item x="0"/>
        <item x="6"/>
        <item x="5"/>
        <item h="1" x="7"/>
        <item t="default"/>
      </items>
    </pivotField>
    <pivotField showAll="0"/>
    <pivotField showAll="0"/>
    <pivotField showAll="0"/>
    <pivotField showAll="0">
      <items count="6">
        <item x="2"/>
        <item x="1"/>
        <item x="0"/>
        <item x="3"/>
        <item x="4"/>
        <item t="default"/>
      </items>
    </pivotField>
    <pivotField showAll="0">
      <items count="102">
        <item x="60"/>
        <item x="7"/>
        <item x="91"/>
        <item x="13"/>
        <item x="20"/>
        <item x="12"/>
        <item x="37"/>
        <item x="5"/>
        <item x="96"/>
        <item x="25"/>
        <item x="68"/>
        <item x="69"/>
        <item x="56"/>
        <item x="23"/>
        <item x="77"/>
        <item x="95"/>
        <item x="83"/>
        <item x="55"/>
        <item x="22"/>
        <item x="90"/>
        <item x="94"/>
        <item x="38"/>
        <item x="86"/>
        <item x="63"/>
        <item x="14"/>
        <item x="34"/>
        <item x="61"/>
        <item x="40"/>
        <item x="15"/>
        <item x="71"/>
        <item x="99"/>
        <item x="43"/>
        <item x="16"/>
        <item x="59"/>
        <item x="52"/>
        <item x="53"/>
        <item x="58"/>
        <item x="33"/>
        <item x="46"/>
        <item x="54"/>
        <item x="3"/>
        <item x="29"/>
        <item x="93"/>
        <item x="19"/>
        <item x="24"/>
        <item x="45"/>
        <item x="26"/>
        <item x="84"/>
        <item x="36"/>
        <item x="0"/>
        <item x="1"/>
        <item x="87"/>
        <item x="89"/>
        <item x="17"/>
        <item x="49"/>
        <item x="85"/>
        <item x="32"/>
        <item x="72"/>
        <item x="8"/>
        <item x="28"/>
        <item x="57"/>
        <item x="21"/>
        <item x="88"/>
        <item x="65"/>
        <item x="80"/>
        <item x="48"/>
        <item x="97"/>
        <item x="92"/>
        <item x="30"/>
        <item x="66"/>
        <item x="10"/>
        <item x="6"/>
        <item x="50"/>
        <item x="35"/>
        <item x="79"/>
        <item x="31"/>
        <item x="64"/>
        <item x="67"/>
        <item x="74"/>
        <item x="98"/>
        <item x="44"/>
        <item x="39"/>
        <item x="78"/>
        <item x="70"/>
        <item x="76"/>
        <item x="73"/>
        <item x="42"/>
        <item x="82"/>
        <item x="11"/>
        <item x="9"/>
        <item x="75"/>
        <item x="2"/>
        <item x="27"/>
        <item x="51"/>
        <item x="4"/>
        <item x="41"/>
        <item x="81"/>
        <item x="62"/>
        <item x="18"/>
        <item x="47"/>
        <item x="100"/>
        <item t="default"/>
      </items>
    </pivotField>
    <pivotField showAll="0"/>
    <pivotField showAll="0" defaultSubtotal="0"/>
    <pivotField showAll="0"/>
    <pivotField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 of Total Revenue" fld="12" baseField="0" baseItem="0" numFmtId="166"/>
  </dataFields>
  <formats count="9">
    <format dxfId="37">
      <pivotArea collapsedLevelsAreSubtotals="1" fieldPosition="0">
        <references count="1">
          <reference field="0" count="1">
            <x v="5"/>
          </reference>
        </references>
      </pivotArea>
    </format>
    <format dxfId="36">
      <pivotArea collapsedLevelsAreSubtotals="1" fieldPosition="0">
        <references count="1">
          <reference field="0" count="1">
            <x v="6"/>
          </reference>
        </references>
      </pivotArea>
    </format>
    <format dxfId="35">
      <pivotArea grandRow="1" outline="0" collapsedLevelsAreSubtotals="1" fieldPosition="0"/>
    </format>
    <format dxfId="34">
      <pivotArea collapsedLevelsAreSubtotals="1" fieldPosition="0">
        <references count="1">
          <reference field="0" count="1">
            <x v="0"/>
          </reference>
        </references>
      </pivotArea>
    </format>
    <format dxfId="33">
      <pivotArea collapsedLevelsAreSubtotals="1" fieldPosition="0">
        <references count="1">
          <reference field="0" count="1">
            <x v="1"/>
          </reference>
        </references>
      </pivotArea>
    </format>
    <format dxfId="32">
      <pivotArea collapsedLevelsAreSubtotals="1" fieldPosition="0">
        <references count="1">
          <reference field="0" count="1">
            <x v="2"/>
          </reference>
        </references>
      </pivotArea>
    </format>
    <format dxfId="31">
      <pivotArea collapsedLevelsAreSubtotals="1" fieldPosition="0">
        <references count="1">
          <reference field="0" count="1">
            <x v="3"/>
          </reference>
        </references>
      </pivotArea>
    </format>
    <format dxfId="30">
      <pivotArea collapsedLevelsAreSubtotals="1" fieldPosition="0">
        <references count="1">
          <reference field="0" count="1">
            <x v="0"/>
          </reference>
        </references>
      </pivotArea>
    </format>
    <format dxfId="29">
      <pivotArea outline="0" collapsedLevelsAreSubtotals="1" fieldPosition="0"/>
    </format>
  </formats>
  <chartFormats count="8">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0" count="1" selected="0">
            <x v="6"/>
          </reference>
        </references>
      </pivotArea>
    </chartFormat>
    <chartFormat chart="32" format="4">
      <pivotArea type="data" outline="0" fieldPosition="0">
        <references count="2">
          <reference field="4294967294" count="1" selected="0">
            <x v="0"/>
          </reference>
          <reference field="0" count="1" selected="0">
            <x v="3"/>
          </reference>
        </references>
      </pivotArea>
    </chartFormat>
    <chartFormat chart="32" format="5">
      <pivotArea type="data" outline="0" fieldPosition="0">
        <references count="2">
          <reference field="4294967294" count="1" selected="0">
            <x v="0"/>
          </reference>
          <reference field="0" count="1" selected="0">
            <x v="4"/>
          </reference>
        </references>
      </pivotArea>
    </chartFormat>
    <chartFormat chart="32" format="6">
      <pivotArea type="data" outline="0" fieldPosition="0">
        <references count="2">
          <reference field="4294967294" count="1" selected="0">
            <x v="0"/>
          </reference>
          <reference field="0" count="1" selected="0">
            <x v="5"/>
          </reference>
        </references>
      </pivotArea>
    </chartFormat>
    <chartFormat chart="32" format="7">
      <pivotArea type="data" outline="0" fieldPosition="0">
        <references count="2">
          <reference field="4294967294" count="1" selected="0">
            <x v="0"/>
          </reference>
          <reference field="0" count="1" selected="0">
            <x v="2"/>
          </reference>
        </references>
      </pivotArea>
    </chartFormat>
    <chartFormat chart="32" format="8">
      <pivotArea type="data" outline="0" fieldPosition="0">
        <references count="2">
          <reference field="4294967294" count="1" selected="0">
            <x v="0"/>
          </reference>
          <reference field="0" count="1" selected="0">
            <x v="1"/>
          </reference>
        </references>
      </pivotArea>
    </chartFormat>
    <chartFormat chart="32" format="9">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4" name="PivotTable11"/>
    <pivotTable tabId="4" name="PivotTable1"/>
    <pivotTable tabId="4" name="PivotTable10"/>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6"/>
    <pivotTable tabId="4" name="PivotTable7"/>
    <pivotTable tabId="4" name="PivotTable9"/>
    <pivotTable tabId="4" name="PivotTable17"/>
  </pivotTables>
  <data>
    <tabular pivotCacheId="1">
      <items count="8">
        <i x="4" s="1"/>
        <i x="1" s="1"/>
        <i x="3" s="1"/>
        <i x="2" s="1"/>
        <i x="0" s="1"/>
        <i x="6" s="1"/>
        <i x="5" s="1"/>
        <i x="7"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Priority" sourceName="Order Priority">
  <pivotTables>
    <pivotTable tabId="4" name="PivotTable11"/>
    <pivotTable tabId="4" name="PivotTable1"/>
    <pivotTable tabId="4" name="PivotTable10"/>
    <pivotTable tabId="4" name="PivotTable12"/>
    <pivotTable tabId="4" name="PivotTable13"/>
    <pivotTable tabId="4" name="PivotTable14"/>
    <pivotTable tabId="4" name="PivotTable15"/>
    <pivotTable tabId="4" name="PivotTable2"/>
    <pivotTable tabId="4" name="PivotTable3"/>
    <pivotTable tabId="4" name="PivotTable4"/>
    <pivotTable tabId="4" name="PivotTable5"/>
    <pivotTable tabId="4" name="PivotTable7"/>
    <pivotTable tabId="4" name="PivotTable8"/>
    <pivotTable tabId="4" name="PivotTable9"/>
    <pivotTable tabId="4" name="PivotTable17"/>
  </pivotTables>
  <data>
    <tabular pivotCacheId="1">
      <items count="5">
        <i x="2" s="1"/>
        <i x="1" s="1"/>
        <i x="0"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4" name="PivotTable15"/>
    <pivotTable tabId="4" name="PivotTable1"/>
    <pivotTable tabId="4" name="PivotTable10"/>
    <pivotTable tabId="4" name="PivotTable11"/>
    <pivotTable tabId="4" name="PivotTable12"/>
    <pivotTable tabId="4" name="PivotTable13"/>
    <pivotTable tabId="4" name="PivotTable14"/>
    <pivotTable tabId="4" name="PivotTable17"/>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1">
      <items count="101">
        <i x="60" s="1"/>
        <i x="7" s="1"/>
        <i x="91" s="1"/>
        <i x="13" s="1"/>
        <i x="20" s="1"/>
        <i x="12" s="1"/>
        <i x="37" s="1"/>
        <i x="5" s="1"/>
        <i x="96" s="1"/>
        <i x="25" s="1"/>
        <i x="68" s="1"/>
        <i x="69" s="1"/>
        <i x="56" s="1"/>
        <i x="23" s="1"/>
        <i x="77" s="1"/>
        <i x="95" s="1"/>
        <i x="83" s="1"/>
        <i x="55" s="1"/>
        <i x="22" s="1"/>
        <i x="90" s="1"/>
        <i x="94" s="1"/>
        <i x="38" s="1"/>
        <i x="86" s="1"/>
        <i x="63" s="1"/>
        <i x="14" s="1"/>
        <i x="34" s="1"/>
        <i x="61" s="1"/>
        <i x="40" s="1"/>
        <i x="15" s="1"/>
        <i x="71" s="1"/>
        <i x="99" s="1"/>
        <i x="43" s="1"/>
        <i x="16" s="1"/>
        <i x="59" s="1"/>
        <i x="52" s="1"/>
        <i x="53" s="1"/>
        <i x="58" s="1"/>
        <i x="33" s="1"/>
        <i x="46" s="1"/>
        <i x="54" s="1"/>
        <i x="3" s="1"/>
        <i x="29" s="1"/>
        <i x="93" s="1"/>
        <i x="19" s="1"/>
        <i x="24" s="1"/>
        <i x="45" s="1"/>
        <i x="26" s="1"/>
        <i x="84" s="1"/>
        <i x="36" s="1"/>
        <i x="0" s="1"/>
        <i x="1" s="1"/>
        <i x="87" s="1"/>
        <i x="89" s="1"/>
        <i x="17" s="1"/>
        <i x="49" s="1"/>
        <i x="85" s="1"/>
        <i x="32" s="1"/>
        <i x="72" s="1"/>
        <i x="8" s="1"/>
        <i x="28" s="1"/>
        <i x="57" s="1"/>
        <i x="21" s="1"/>
        <i x="88" s="1"/>
        <i x="65" s="1"/>
        <i x="80" s="1"/>
        <i x="48" s="1"/>
        <i x="97" s="1"/>
        <i x="92" s="1"/>
        <i x="30" s="1"/>
        <i x="66" s="1"/>
        <i x="10" s="1"/>
        <i x="6" s="1"/>
        <i x="50" s="1"/>
        <i x="35" s="1"/>
        <i x="79" s="1"/>
        <i x="31" s="1"/>
        <i x="64" s="1"/>
        <i x="67" s="1"/>
        <i x="74" s="1"/>
        <i x="98" s="1"/>
        <i x="44" s="1"/>
        <i x="39" s="1"/>
        <i x="78" s="1"/>
        <i x="70" s="1"/>
        <i x="76" s="1"/>
        <i x="73" s="1"/>
        <i x="42" s="1"/>
        <i x="82" s="1"/>
        <i x="11" s="1"/>
        <i x="9" s="1"/>
        <i x="75" s="1"/>
        <i x="2" s="1"/>
        <i x="27" s="1"/>
        <i x="51" s="1"/>
        <i x="4" s="1"/>
        <i x="41" s="1"/>
        <i x="81" s="1"/>
        <i x="62" s="1"/>
        <i x="18" s="1"/>
        <i x="47" s="1"/>
        <i x="10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1 2" rowHeight="241300"/>
  <slicer name="Order Priority" cache="Slicer_Order_Priority" caption="Order Priority" style="SlicerStyleLight1 2" rowHeight="241300"/>
  <slicer name="Order Date" cache="Slicer_Order_Date" caption="Order Date" startItem="49"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2.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1"/>
  <sheetViews>
    <sheetView tabSelected="1" zoomScaleNormal="100" workbookViewId="0">
      <selection activeCell="P4" sqref="P4"/>
    </sheetView>
  </sheetViews>
  <sheetFormatPr defaultRowHeight="15" x14ac:dyDescent="0.25"/>
  <cols>
    <col min="1" max="1" width="32.42578125" style="2" bestFit="1" customWidth="1"/>
    <col min="2" max="2" width="31.5703125" style="2" bestFit="1" customWidth="1"/>
    <col min="3" max="3" width="14.5703125" bestFit="1" customWidth="1"/>
    <col min="4" max="4" width="13.42578125" bestFit="1" customWidth="1"/>
    <col min="5" max="5" width="13.28515625" bestFit="1" customWidth="1"/>
    <col min="6" max="6" width="11.42578125" style="8" bestFit="1" customWidth="1"/>
    <col min="7" max="7" width="10" bestFit="1" customWidth="1"/>
    <col min="8" max="8" width="11.7109375" bestFit="1" customWidth="1"/>
    <col min="9" max="9" width="11.5703125" style="7" bestFit="1" customWidth="1"/>
    <col min="10" max="10" width="9.5703125" style="9" bestFit="1" customWidth="1"/>
    <col min="11" max="11" width="9.28515625" style="10" bestFit="1" customWidth="1"/>
    <col min="12" max="12" width="9.28515625" style="11" bestFit="1" customWidth="1"/>
    <col min="13" max="15" width="14" style="10" bestFit="1" customWidth="1"/>
    <col min="17" max="17" width="13.28515625" bestFit="1" customWidth="1"/>
    <col min="18" max="18" width="10.7109375" bestFit="1" customWidth="1"/>
  </cols>
  <sheetData>
    <row r="1" spans="1:18" x14ac:dyDescent="0.25">
      <c r="A1" s="6" t="s">
        <v>0</v>
      </c>
      <c r="B1" s="6" t="s">
        <v>1</v>
      </c>
      <c r="C1" s="6" t="s">
        <v>2</v>
      </c>
      <c r="D1" s="6" t="s">
        <v>3</v>
      </c>
      <c r="E1" s="6" t="s">
        <v>4</v>
      </c>
      <c r="F1" s="1" t="s">
        <v>5</v>
      </c>
      <c r="G1" t="s">
        <v>6</v>
      </c>
      <c r="H1" t="s">
        <v>127</v>
      </c>
      <c r="I1" s="7" t="s">
        <v>7</v>
      </c>
      <c r="J1" s="9" t="s">
        <v>8</v>
      </c>
      <c r="K1" s="10" t="s">
        <v>9</v>
      </c>
      <c r="L1" s="11" t="s">
        <v>10</v>
      </c>
      <c r="M1" s="10" t="s">
        <v>11</v>
      </c>
      <c r="N1" s="10" t="s">
        <v>12</v>
      </c>
      <c r="O1" s="10" t="s">
        <v>13</v>
      </c>
    </row>
    <row r="2" spans="1:18" x14ac:dyDescent="0.25">
      <c r="A2" s="6" t="s">
        <v>71</v>
      </c>
      <c r="B2" s="6" t="s">
        <v>97</v>
      </c>
      <c r="C2" s="6" t="s">
        <v>50</v>
      </c>
      <c r="D2" s="6" t="s">
        <v>17</v>
      </c>
      <c r="E2" s="6" t="s">
        <v>27</v>
      </c>
      <c r="F2" s="1">
        <v>41460</v>
      </c>
      <c r="G2">
        <v>231145322</v>
      </c>
      <c r="H2">
        <f>I2-F2</f>
        <v>42</v>
      </c>
      <c r="I2" s="7">
        <v>41502</v>
      </c>
      <c r="J2" s="9">
        <v>9892</v>
      </c>
      <c r="K2" s="14">
        <v>437.2</v>
      </c>
      <c r="L2" s="19">
        <v>263.33</v>
      </c>
      <c r="M2" s="14">
        <v>4324782.4000000004</v>
      </c>
      <c r="N2" s="14">
        <v>2604860.36</v>
      </c>
      <c r="O2" s="14">
        <v>1719922.04</v>
      </c>
      <c r="Q2" s="6"/>
      <c r="R2" s="1"/>
    </row>
    <row r="3" spans="1:18" x14ac:dyDescent="0.25">
      <c r="A3" s="6" t="s">
        <v>14</v>
      </c>
      <c r="B3" s="6" t="s">
        <v>103</v>
      </c>
      <c r="C3" s="6" t="s">
        <v>50</v>
      </c>
      <c r="D3" s="6" t="s">
        <v>22</v>
      </c>
      <c r="E3" s="6" t="s">
        <v>18</v>
      </c>
      <c r="F3" s="1">
        <v>41475</v>
      </c>
      <c r="G3">
        <v>670854651</v>
      </c>
      <c r="H3">
        <f t="shared" ref="H3:H66" si="0">I3-F3</f>
        <v>18</v>
      </c>
      <c r="I3" s="7">
        <v>41493</v>
      </c>
      <c r="J3" s="9">
        <v>9654</v>
      </c>
      <c r="K3" s="14">
        <v>437.2</v>
      </c>
      <c r="L3" s="19">
        <v>263.33</v>
      </c>
      <c r="M3" s="14">
        <v>4220728.8</v>
      </c>
      <c r="N3" s="14">
        <v>2542187.8199999998</v>
      </c>
      <c r="O3" s="14">
        <v>1678540.98</v>
      </c>
      <c r="Q3" s="6"/>
      <c r="R3" s="1"/>
    </row>
    <row r="4" spans="1:18" x14ac:dyDescent="0.25">
      <c r="A4" s="6" t="s">
        <v>24</v>
      </c>
      <c r="B4" s="6" t="s">
        <v>78</v>
      </c>
      <c r="C4" s="6" t="s">
        <v>50</v>
      </c>
      <c r="D4" s="6" t="s">
        <v>22</v>
      </c>
      <c r="E4" s="6" t="s">
        <v>23</v>
      </c>
      <c r="F4" s="1">
        <v>42735</v>
      </c>
      <c r="G4">
        <v>331438481</v>
      </c>
      <c r="H4">
        <f t="shared" si="0"/>
        <v>0</v>
      </c>
      <c r="I4" s="7">
        <v>42735</v>
      </c>
      <c r="J4" s="9">
        <v>8867</v>
      </c>
      <c r="K4" s="14">
        <v>437.2</v>
      </c>
      <c r="L4" s="19">
        <v>263.33</v>
      </c>
      <c r="M4" s="14">
        <v>3876652.4</v>
      </c>
      <c r="N4" s="14">
        <v>2334947.11</v>
      </c>
      <c r="O4" s="14">
        <v>1541705.29</v>
      </c>
      <c r="Q4" s="1"/>
    </row>
    <row r="5" spans="1:18" x14ac:dyDescent="0.25">
      <c r="A5" s="6" t="s">
        <v>24</v>
      </c>
      <c r="B5" s="6" t="s">
        <v>65</v>
      </c>
      <c r="C5" s="6" t="s">
        <v>50</v>
      </c>
      <c r="D5" s="6" t="s">
        <v>17</v>
      </c>
      <c r="E5" s="6" t="s">
        <v>35</v>
      </c>
      <c r="F5" s="1">
        <v>41169</v>
      </c>
      <c r="G5">
        <v>249693334</v>
      </c>
      <c r="H5">
        <f t="shared" si="0"/>
        <v>33</v>
      </c>
      <c r="I5" s="7">
        <v>41202</v>
      </c>
      <c r="J5" s="9">
        <v>8661</v>
      </c>
      <c r="K5" s="14">
        <v>437.2</v>
      </c>
      <c r="L5" s="19">
        <v>263.33</v>
      </c>
      <c r="M5" s="14">
        <v>3786589.2</v>
      </c>
      <c r="N5" s="14">
        <v>2280701.13</v>
      </c>
      <c r="O5" s="14">
        <v>1505888.07</v>
      </c>
    </row>
    <row r="6" spans="1:18" x14ac:dyDescent="0.25">
      <c r="A6" s="6" t="s">
        <v>19</v>
      </c>
      <c r="B6" s="6" t="s">
        <v>46</v>
      </c>
      <c r="C6" s="6" t="s">
        <v>34</v>
      </c>
      <c r="D6" s="6" t="s">
        <v>17</v>
      </c>
      <c r="E6" s="6" t="s">
        <v>18</v>
      </c>
      <c r="F6" s="1">
        <v>42774</v>
      </c>
      <c r="G6">
        <v>522840487</v>
      </c>
      <c r="H6">
        <f t="shared" si="0"/>
        <v>5</v>
      </c>
      <c r="I6" s="7">
        <v>42779</v>
      </c>
      <c r="J6" s="9">
        <v>8974</v>
      </c>
      <c r="K6" s="14">
        <v>668.27</v>
      </c>
      <c r="L6" s="19">
        <v>502.54</v>
      </c>
      <c r="M6" s="14">
        <v>5997054.9800000004</v>
      </c>
      <c r="N6" s="14">
        <v>4509793.96</v>
      </c>
      <c r="O6" s="14">
        <v>1487261.02</v>
      </c>
    </row>
    <row r="7" spans="1:18" x14ac:dyDescent="0.25">
      <c r="A7" s="6" t="s">
        <v>24</v>
      </c>
      <c r="B7" s="6" t="s">
        <v>111</v>
      </c>
      <c r="C7" s="6" t="s">
        <v>50</v>
      </c>
      <c r="D7" s="6" t="s">
        <v>22</v>
      </c>
      <c r="E7" s="6" t="s">
        <v>18</v>
      </c>
      <c r="F7" s="1">
        <v>40508</v>
      </c>
      <c r="G7">
        <v>660643374</v>
      </c>
      <c r="H7">
        <f t="shared" si="0"/>
        <v>29</v>
      </c>
      <c r="I7" s="7">
        <v>40537</v>
      </c>
      <c r="J7" s="9">
        <v>7910</v>
      </c>
      <c r="K7" s="14">
        <v>437.2</v>
      </c>
      <c r="L7" s="19">
        <v>263.33</v>
      </c>
      <c r="M7" s="14">
        <v>3458252</v>
      </c>
      <c r="N7" s="14">
        <v>2082940.3</v>
      </c>
      <c r="O7" s="14">
        <v>1375311.7</v>
      </c>
    </row>
    <row r="8" spans="1:18" x14ac:dyDescent="0.25">
      <c r="A8" s="6" t="s">
        <v>41</v>
      </c>
      <c r="B8" s="6" t="s">
        <v>68</v>
      </c>
      <c r="C8" s="6" t="s">
        <v>34</v>
      </c>
      <c r="D8" s="6" t="s">
        <v>17</v>
      </c>
      <c r="E8" s="6" t="s">
        <v>18</v>
      </c>
      <c r="F8" s="1">
        <v>42020</v>
      </c>
      <c r="G8">
        <v>177713572</v>
      </c>
      <c r="H8">
        <f t="shared" si="0"/>
        <v>44</v>
      </c>
      <c r="I8" s="7">
        <v>42064</v>
      </c>
      <c r="J8" s="9">
        <v>8250</v>
      </c>
      <c r="K8" s="14">
        <v>668.27</v>
      </c>
      <c r="L8" s="19">
        <v>502.54</v>
      </c>
      <c r="M8" s="14">
        <v>5513227.5</v>
      </c>
      <c r="N8" s="14">
        <v>4145955</v>
      </c>
      <c r="O8" s="14">
        <v>1367272.5</v>
      </c>
    </row>
    <row r="9" spans="1:18" x14ac:dyDescent="0.25">
      <c r="A9" s="6" t="s">
        <v>71</v>
      </c>
      <c r="B9" s="6" t="s">
        <v>75</v>
      </c>
      <c r="C9" s="6" t="s">
        <v>50</v>
      </c>
      <c r="D9" s="6" t="s">
        <v>22</v>
      </c>
      <c r="E9" s="6" t="s">
        <v>35</v>
      </c>
      <c r="F9" s="1">
        <v>40215</v>
      </c>
      <c r="G9">
        <v>382392299</v>
      </c>
      <c r="H9">
        <f t="shared" si="0"/>
        <v>19</v>
      </c>
      <c r="I9" s="7">
        <v>40234</v>
      </c>
      <c r="J9" s="9">
        <v>7234</v>
      </c>
      <c r="K9" s="14">
        <v>437.2</v>
      </c>
      <c r="L9" s="19">
        <v>263.33</v>
      </c>
      <c r="M9" s="14">
        <v>3162704.8</v>
      </c>
      <c r="N9" s="14">
        <v>1904929.22</v>
      </c>
      <c r="O9" s="14">
        <v>1257775.58</v>
      </c>
    </row>
    <row r="10" spans="1:18" x14ac:dyDescent="0.25">
      <c r="A10" s="6" t="s">
        <v>28</v>
      </c>
      <c r="B10" s="6" t="s">
        <v>69</v>
      </c>
      <c r="C10" s="6" t="s">
        <v>50</v>
      </c>
      <c r="D10" s="6" t="s">
        <v>17</v>
      </c>
      <c r="E10" s="6" t="s">
        <v>18</v>
      </c>
      <c r="F10" s="1">
        <v>41736</v>
      </c>
      <c r="G10">
        <v>259353148</v>
      </c>
      <c r="H10">
        <f t="shared" si="0"/>
        <v>12</v>
      </c>
      <c r="I10" s="7">
        <v>41748</v>
      </c>
      <c r="J10" s="9">
        <v>7215</v>
      </c>
      <c r="K10" s="14">
        <v>437.2</v>
      </c>
      <c r="L10" s="19">
        <v>263.33</v>
      </c>
      <c r="M10" s="14">
        <v>3154398</v>
      </c>
      <c r="N10" s="14">
        <v>1899925.95</v>
      </c>
      <c r="O10" s="14">
        <v>1254472.05</v>
      </c>
    </row>
    <row r="11" spans="1:18" x14ac:dyDescent="0.25">
      <c r="A11" s="6" t="s">
        <v>41</v>
      </c>
      <c r="B11" s="6" t="s">
        <v>49</v>
      </c>
      <c r="C11" s="6" t="s">
        <v>50</v>
      </c>
      <c r="D11" s="6" t="s">
        <v>17</v>
      </c>
      <c r="E11" s="6" t="s">
        <v>35</v>
      </c>
      <c r="F11" s="1">
        <v>42693</v>
      </c>
      <c r="G11">
        <v>419123971</v>
      </c>
      <c r="H11">
        <f t="shared" si="0"/>
        <v>29</v>
      </c>
      <c r="I11" s="7">
        <v>42722</v>
      </c>
      <c r="J11" s="9">
        <v>6952</v>
      </c>
      <c r="K11" s="14">
        <v>437.2</v>
      </c>
      <c r="L11" s="19">
        <v>263.33</v>
      </c>
      <c r="M11" s="14">
        <v>3039414.4</v>
      </c>
      <c r="N11" s="14">
        <v>1830670.16</v>
      </c>
      <c r="O11" s="14">
        <v>1208744.24</v>
      </c>
    </row>
    <row r="12" spans="1:18" x14ac:dyDescent="0.25">
      <c r="A12" s="6" t="s">
        <v>98</v>
      </c>
      <c r="B12" s="6" t="s">
        <v>99</v>
      </c>
      <c r="C12" s="6" t="s">
        <v>34</v>
      </c>
      <c r="D12" s="6" t="s">
        <v>17</v>
      </c>
      <c r="E12" s="6" t="s">
        <v>23</v>
      </c>
      <c r="F12" s="1">
        <v>41949</v>
      </c>
      <c r="G12">
        <v>986435210</v>
      </c>
      <c r="H12">
        <f t="shared" si="0"/>
        <v>36</v>
      </c>
      <c r="I12" s="7">
        <v>41985</v>
      </c>
      <c r="J12" s="9">
        <v>6954</v>
      </c>
      <c r="K12" s="14">
        <v>668.27</v>
      </c>
      <c r="L12" s="19">
        <v>502.54</v>
      </c>
      <c r="M12" s="14">
        <v>4647149.58</v>
      </c>
      <c r="N12" s="14">
        <v>3494663.16</v>
      </c>
      <c r="O12" s="14">
        <v>1152486.42</v>
      </c>
    </row>
    <row r="13" spans="1:18" x14ac:dyDescent="0.25">
      <c r="A13" s="6" t="s">
        <v>71</v>
      </c>
      <c r="B13" s="6" t="s">
        <v>106</v>
      </c>
      <c r="C13" s="6" t="s">
        <v>50</v>
      </c>
      <c r="D13" s="6" t="s">
        <v>22</v>
      </c>
      <c r="E13" s="6" t="s">
        <v>18</v>
      </c>
      <c r="F13" s="1">
        <v>42689</v>
      </c>
      <c r="G13">
        <v>286959302</v>
      </c>
      <c r="H13">
        <f t="shared" si="0"/>
        <v>23</v>
      </c>
      <c r="I13" s="7">
        <v>42712</v>
      </c>
      <c r="J13" s="9">
        <v>6489</v>
      </c>
      <c r="K13" s="14">
        <v>437.2</v>
      </c>
      <c r="L13" s="19">
        <v>263.33</v>
      </c>
      <c r="M13" s="14">
        <v>2836990.8</v>
      </c>
      <c r="N13" s="14">
        <v>1708748.37</v>
      </c>
      <c r="O13" s="14">
        <v>1128242.43</v>
      </c>
    </row>
    <row r="14" spans="1:18" x14ac:dyDescent="0.25">
      <c r="A14" s="6" t="s">
        <v>24</v>
      </c>
      <c r="B14" s="6" t="s">
        <v>94</v>
      </c>
      <c r="C14" s="6" t="s">
        <v>26</v>
      </c>
      <c r="D14" s="6" t="s">
        <v>17</v>
      </c>
      <c r="E14" s="6" t="s">
        <v>18</v>
      </c>
      <c r="F14" s="1">
        <v>40475</v>
      </c>
      <c r="G14">
        <v>166460740</v>
      </c>
      <c r="H14">
        <f t="shared" si="0"/>
        <v>24</v>
      </c>
      <c r="I14" s="7">
        <v>40499</v>
      </c>
      <c r="J14" s="9">
        <v>8287</v>
      </c>
      <c r="K14" s="14">
        <v>651.21</v>
      </c>
      <c r="L14" s="19">
        <v>524.96</v>
      </c>
      <c r="M14" s="14">
        <v>5396577.2699999996</v>
      </c>
      <c r="N14" s="14">
        <v>4350343.5199999996</v>
      </c>
      <c r="O14" s="14">
        <v>1046233.75</v>
      </c>
    </row>
    <row r="15" spans="1:18" x14ac:dyDescent="0.25">
      <c r="A15" s="6" t="s">
        <v>14</v>
      </c>
      <c r="B15" s="6" t="s">
        <v>15</v>
      </c>
      <c r="C15" s="6" t="s">
        <v>16</v>
      </c>
      <c r="D15" s="6" t="s">
        <v>17</v>
      </c>
      <c r="E15" s="6" t="s">
        <v>18</v>
      </c>
      <c r="F15" s="1">
        <v>40326</v>
      </c>
      <c r="G15">
        <v>669165933</v>
      </c>
      <c r="H15">
        <f t="shared" si="0"/>
        <v>30</v>
      </c>
      <c r="I15" s="7">
        <v>40356</v>
      </c>
      <c r="J15" s="9">
        <v>9925</v>
      </c>
      <c r="K15" s="14">
        <v>255.28</v>
      </c>
      <c r="L15" s="19">
        <v>159.41999999999999</v>
      </c>
      <c r="M15" s="14">
        <v>2533654</v>
      </c>
      <c r="N15" s="14">
        <v>1582243.5</v>
      </c>
      <c r="O15" s="14">
        <v>951410.5</v>
      </c>
    </row>
    <row r="16" spans="1:18" x14ac:dyDescent="0.25">
      <c r="A16" s="6" t="s">
        <v>28</v>
      </c>
      <c r="B16" s="6" t="s">
        <v>114</v>
      </c>
      <c r="C16" s="6" t="s">
        <v>34</v>
      </c>
      <c r="D16" s="6" t="s">
        <v>17</v>
      </c>
      <c r="E16" s="6" t="s">
        <v>27</v>
      </c>
      <c r="F16" s="1">
        <v>40949</v>
      </c>
      <c r="G16">
        <v>665095412</v>
      </c>
      <c r="H16">
        <f t="shared" si="0"/>
        <v>5</v>
      </c>
      <c r="I16" s="7">
        <v>40954</v>
      </c>
      <c r="J16" s="9">
        <v>5367</v>
      </c>
      <c r="K16" s="14">
        <v>668.27</v>
      </c>
      <c r="L16" s="19">
        <v>502.54</v>
      </c>
      <c r="M16" s="14">
        <v>3586605.09</v>
      </c>
      <c r="N16" s="14">
        <v>2697132.18</v>
      </c>
      <c r="O16" s="14">
        <v>889472.91</v>
      </c>
    </row>
    <row r="17" spans="1:15" x14ac:dyDescent="0.25">
      <c r="A17" s="6" t="s">
        <v>41</v>
      </c>
      <c r="B17" s="6" t="s">
        <v>73</v>
      </c>
      <c r="C17" s="6" t="s">
        <v>26</v>
      </c>
      <c r="D17" s="6" t="s">
        <v>22</v>
      </c>
      <c r="E17" s="6" t="s">
        <v>27</v>
      </c>
      <c r="F17" s="1">
        <v>41000</v>
      </c>
      <c r="G17">
        <v>320009267</v>
      </c>
      <c r="H17">
        <f t="shared" si="0"/>
        <v>37</v>
      </c>
      <c r="I17" s="7">
        <v>41037</v>
      </c>
      <c r="J17" s="9">
        <v>6708</v>
      </c>
      <c r="K17" s="14">
        <v>651.21</v>
      </c>
      <c r="L17" s="19">
        <v>524.96</v>
      </c>
      <c r="M17" s="14">
        <v>4368316.68</v>
      </c>
      <c r="N17" s="14">
        <v>3521431.68</v>
      </c>
      <c r="O17" s="14">
        <v>846885</v>
      </c>
    </row>
    <row r="18" spans="1:15" x14ac:dyDescent="0.25">
      <c r="A18" s="6" t="s">
        <v>24</v>
      </c>
      <c r="B18" s="6" t="s">
        <v>102</v>
      </c>
      <c r="C18" s="6" t="s">
        <v>16</v>
      </c>
      <c r="D18" s="6" t="s">
        <v>17</v>
      </c>
      <c r="E18" s="6" t="s">
        <v>18</v>
      </c>
      <c r="F18" s="1">
        <v>41058</v>
      </c>
      <c r="G18">
        <v>688288152</v>
      </c>
      <c r="H18">
        <f t="shared" si="0"/>
        <v>4</v>
      </c>
      <c r="I18" s="7">
        <v>41062</v>
      </c>
      <c r="J18" s="9">
        <v>8614</v>
      </c>
      <c r="K18" s="14">
        <v>255.28</v>
      </c>
      <c r="L18" s="19">
        <v>159.41999999999999</v>
      </c>
      <c r="M18" s="14">
        <v>2198981.92</v>
      </c>
      <c r="N18" s="14">
        <v>1373243.88</v>
      </c>
      <c r="O18" s="14">
        <v>825738.04</v>
      </c>
    </row>
    <row r="19" spans="1:15" x14ac:dyDescent="0.25">
      <c r="A19" s="6" t="s">
        <v>28</v>
      </c>
      <c r="B19" s="6" t="s">
        <v>31</v>
      </c>
      <c r="C19" s="6" t="s">
        <v>50</v>
      </c>
      <c r="D19" s="6" t="s">
        <v>17</v>
      </c>
      <c r="E19" s="6" t="s">
        <v>18</v>
      </c>
      <c r="F19" s="1">
        <v>41558</v>
      </c>
      <c r="G19">
        <v>699358165</v>
      </c>
      <c r="H19">
        <f t="shared" si="0"/>
        <v>45</v>
      </c>
      <c r="I19" s="7">
        <v>41603</v>
      </c>
      <c r="J19" s="9">
        <v>4477</v>
      </c>
      <c r="K19" s="14">
        <v>437.2</v>
      </c>
      <c r="L19" s="19">
        <v>263.33</v>
      </c>
      <c r="M19" s="14">
        <v>1957344.4</v>
      </c>
      <c r="N19" s="14">
        <v>1178928.4099999999</v>
      </c>
      <c r="O19" s="14">
        <v>778415.99</v>
      </c>
    </row>
    <row r="20" spans="1:15" x14ac:dyDescent="0.25">
      <c r="A20" s="6" t="s">
        <v>28</v>
      </c>
      <c r="B20" s="6" t="s">
        <v>69</v>
      </c>
      <c r="C20" s="6" t="s">
        <v>21</v>
      </c>
      <c r="D20" s="6" t="s">
        <v>22</v>
      </c>
      <c r="E20" s="6" t="s">
        <v>18</v>
      </c>
      <c r="F20" s="1">
        <v>42875</v>
      </c>
      <c r="G20">
        <v>555990016</v>
      </c>
      <c r="H20">
        <f t="shared" si="0"/>
        <v>28</v>
      </c>
      <c r="I20" s="7">
        <v>42903</v>
      </c>
      <c r="J20" s="9">
        <v>8656</v>
      </c>
      <c r="K20" s="14">
        <v>205.7</v>
      </c>
      <c r="L20" s="19">
        <v>117.11</v>
      </c>
      <c r="M20" s="14">
        <v>1780539.2</v>
      </c>
      <c r="N20" s="14">
        <v>1013704.16</v>
      </c>
      <c r="O20" s="14">
        <v>766835.04</v>
      </c>
    </row>
    <row r="21" spans="1:15" x14ac:dyDescent="0.25">
      <c r="A21" s="6" t="s">
        <v>24</v>
      </c>
      <c r="B21" s="6" t="s">
        <v>104</v>
      </c>
      <c r="C21" s="6" t="s">
        <v>34</v>
      </c>
      <c r="D21" s="6" t="s">
        <v>17</v>
      </c>
      <c r="E21" s="6" t="s">
        <v>27</v>
      </c>
      <c r="F21" s="1">
        <v>41203</v>
      </c>
      <c r="G21">
        <v>213487374</v>
      </c>
      <c r="H21">
        <f t="shared" si="0"/>
        <v>40</v>
      </c>
      <c r="I21" s="7">
        <v>41243</v>
      </c>
      <c r="J21" s="9">
        <v>4513</v>
      </c>
      <c r="K21" s="14">
        <v>668.27</v>
      </c>
      <c r="L21" s="19">
        <v>502.54</v>
      </c>
      <c r="M21" s="14">
        <v>3015902.51</v>
      </c>
      <c r="N21" s="14">
        <v>2267963.02</v>
      </c>
      <c r="O21" s="14">
        <v>747939.49</v>
      </c>
    </row>
    <row r="22" spans="1:15" x14ac:dyDescent="0.25">
      <c r="A22" s="6" t="s">
        <v>14</v>
      </c>
      <c r="B22" s="6" t="s">
        <v>86</v>
      </c>
      <c r="C22" s="6" t="s">
        <v>44</v>
      </c>
      <c r="D22" s="6" t="s">
        <v>17</v>
      </c>
      <c r="E22" s="6" t="s">
        <v>23</v>
      </c>
      <c r="F22" s="1">
        <v>40359</v>
      </c>
      <c r="G22">
        <v>647876489</v>
      </c>
      <c r="H22">
        <f t="shared" si="0"/>
        <v>32</v>
      </c>
      <c r="I22" s="7">
        <v>40391</v>
      </c>
      <c r="J22" s="9">
        <v>9905</v>
      </c>
      <c r="K22" s="14">
        <v>109.28</v>
      </c>
      <c r="L22" s="19">
        <v>35.840000000000003</v>
      </c>
      <c r="M22" s="14">
        <v>1082418.3999999999</v>
      </c>
      <c r="N22" s="14">
        <v>354995.20000000001</v>
      </c>
      <c r="O22" s="14">
        <v>727423.2</v>
      </c>
    </row>
    <row r="23" spans="1:15" x14ac:dyDescent="0.25">
      <c r="A23" s="6" t="s">
        <v>24</v>
      </c>
      <c r="B23" s="6" t="s">
        <v>56</v>
      </c>
      <c r="C23" s="6" t="s">
        <v>16</v>
      </c>
      <c r="D23" s="6" t="s">
        <v>22</v>
      </c>
      <c r="E23" s="6" t="s">
        <v>27</v>
      </c>
      <c r="F23" s="1">
        <v>41773</v>
      </c>
      <c r="G23">
        <v>819028031</v>
      </c>
      <c r="H23">
        <f t="shared" si="0"/>
        <v>45</v>
      </c>
      <c r="I23" s="7">
        <v>41818</v>
      </c>
      <c r="J23" s="9">
        <v>7450</v>
      </c>
      <c r="K23" s="14">
        <v>255.28</v>
      </c>
      <c r="L23" s="19">
        <v>159.41999999999999</v>
      </c>
      <c r="M23" s="14">
        <v>1901836</v>
      </c>
      <c r="N23" s="14">
        <v>1187679</v>
      </c>
      <c r="O23" s="14">
        <v>714157</v>
      </c>
    </row>
    <row r="24" spans="1:15" x14ac:dyDescent="0.25">
      <c r="A24" s="6" t="s">
        <v>28</v>
      </c>
      <c r="B24" s="6" t="s">
        <v>51</v>
      </c>
      <c r="C24" s="6" t="s">
        <v>26</v>
      </c>
      <c r="D24" s="6" t="s">
        <v>22</v>
      </c>
      <c r="E24" s="6" t="s">
        <v>35</v>
      </c>
      <c r="F24" s="1">
        <v>40854</v>
      </c>
      <c r="G24">
        <v>177636754</v>
      </c>
      <c r="H24">
        <f t="shared" si="0"/>
        <v>8</v>
      </c>
      <c r="I24" s="7">
        <v>40862</v>
      </c>
      <c r="J24" s="9">
        <v>5518</v>
      </c>
      <c r="K24" s="14">
        <v>651.21</v>
      </c>
      <c r="L24" s="19">
        <v>524.96</v>
      </c>
      <c r="M24" s="14">
        <v>3593376.78</v>
      </c>
      <c r="N24" s="14">
        <v>2896729.28</v>
      </c>
      <c r="O24" s="14">
        <v>696647.5</v>
      </c>
    </row>
    <row r="25" spans="1:15" x14ac:dyDescent="0.25">
      <c r="A25" s="6" t="s">
        <v>28</v>
      </c>
      <c r="B25" s="6" t="s">
        <v>33</v>
      </c>
      <c r="C25" s="6" t="s">
        <v>34</v>
      </c>
      <c r="D25" s="6" t="s">
        <v>17</v>
      </c>
      <c r="E25" s="6" t="s">
        <v>35</v>
      </c>
      <c r="F25" s="1">
        <v>40656</v>
      </c>
      <c r="G25">
        <v>135425221</v>
      </c>
      <c r="H25">
        <f t="shared" si="0"/>
        <v>4</v>
      </c>
      <c r="I25" s="7">
        <v>40660</v>
      </c>
      <c r="J25" s="9">
        <v>4187</v>
      </c>
      <c r="K25" s="14">
        <v>668.27</v>
      </c>
      <c r="L25" s="19">
        <v>502.54</v>
      </c>
      <c r="M25" s="14">
        <v>2798046.49</v>
      </c>
      <c r="N25" s="14">
        <v>2104134.98</v>
      </c>
      <c r="O25" s="14">
        <v>693911.51</v>
      </c>
    </row>
    <row r="26" spans="1:15" x14ac:dyDescent="0.25">
      <c r="A26" s="6" t="s">
        <v>28</v>
      </c>
      <c r="B26" s="6" t="s">
        <v>31</v>
      </c>
      <c r="C26" s="6" t="s">
        <v>26</v>
      </c>
      <c r="D26" s="6" t="s">
        <v>17</v>
      </c>
      <c r="E26" s="6" t="s">
        <v>27</v>
      </c>
      <c r="F26" s="1">
        <v>41306</v>
      </c>
      <c r="G26">
        <v>115456712</v>
      </c>
      <c r="H26">
        <f t="shared" si="0"/>
        <v>5</v>
      </c>
      <c r="I26" s="7">
        <v>41311</v>
      </c>
      <c r="J26" s="9">
        <v>5062</v>
      </c>
      <c r="K26" s="14">
        <v>651.21</v>
      </c>
      <c r="L26" s="19">
        <v>524.96</v>
      </c>
      <c r="M26" s="14">
        <v>3296425.02</v>
      </c>
      <c r="N26" s="14">
        <v>2657347.52</v>
      </c>
      <c r="O26" s="14">
        <v>639077.5</v>
      </c>
    </row>
    <row r="27" spans="1:15" x14ac:dyDescent="0.25">
      <c r="A27" s="6" t="s">
        <v>41</v>
      </c>
      <c r="B27" s="6" t="s">
        <v>53</v>
      </c>
      <c r="C27" s="6" t="s">
        <v>34</v>
      </c>
      <c r="D27" s="6" t="s">
        <v>17</v>
      </c>
      <c r="E27" s="6" t="s">
        <v>27</v>
      </c>
      <c r="F27" s="1">
        <v>40542</v>
      </c>
      <c r="G27">
        <v>441619336</v>
      </c>
      <c r="H27">
        <f t="shared" si="0"/>
        <v>21</v>
      </c>
      <c r="I27" s="7">
        <v>40563</v>
      </c>
      <c r="J27" s="9">
        <v>3830</v>
      </c>
      <c r="K27" s="14">
        <v>668.27</v>
      </c>
      <c r="L27" s="19">
        <v>502.54</v>
      </c>
      <c r="M27" s="14">
        <v>2559474.1</v>
      </c>
      <c r="N27" s="14">
        <v>1924728.2</v>
      </c>
      <c r="O27" s="14">
        <v>634745.9</v>
      </c>
    </row>
    <row r="28" spans="1:15" x14ac:dyDescent="0.25">
      <c r="A28" s="6" t="s">
        <v>41</v>
      </c>
      <c r="B28" s="6" t="s">
        <v>53</v>
      </c>
      <c r="C28" s="6" t="s">
        <v>26</v>
      </c>
      <c r="D28" s="6" t="s">
        <v>22</v>
      </c>
      <c r="E28" s="6" t="s">
        <v>35</v>
      </c>
      <c r="F28" s="1">
        <v>41387</v>
      </c>
      <c r="G28">
        <v>462405812</v>
      </c>
      <c r="H28">
        <f t="shared" si="0"/>
        <v>27</v>
      </c>
      <c r="I28" s="7">
        <v>41414</v>
      </c>
      <c r="J28" s="9">
        <v>5010</v>
      </c>
      <c r="K28" s="14">
        <v>651.21</v>
      </c>
      <c r="L28" s="19">
        <v>524.96</v>
      </c>
      <c r="M28" s="14">
        <v>3262562.1</v>
      </c>
      <c r="N28" s="14">
        <v>2630049.6</v>
      </c>
      <c r="O28" s="14">
        <v>632512.5</v>
      </c>
    </row>
    <row r="29" spans="1:15" x14ac:dyDescent="0.25">
      <c r="A29" s="6" t="s">
        <v>41</v>
      </c>
      <c r="B29" s="6" t="s">
        <v>45</v>
      </c>
      <c r="C29" s="6" t="s">
        <v>44</v>
      </c>
      <c r="D29" s="6" t="s">
        <v>22</v>
      </c>
      <c r="E29" s="6" t="s">
        <v>27</v>
      </c>
      <c r="F29" s="1">
        <v>42748</v>
      </c>
      <c r="G29">
        <v>187310731</v>
      </c>
      <c r="H29">
        <f t="shared" si="0"/>
        <v>47</v>
      </c>
      <c r="I29" s="7">
        <v>42795</v>
      </c>
      <c r="J29" s="9">
        <v>8263</v>
      </c>
      <c r="K29" s="14">
        <v>109.28</v>
      </c>
      <c r="L29" s="19">
        <v>35.840000000000003</v>
      </c>
      <c r="M29" s="14">
        <v>902980.64</v>
      </c>
      <c r="N29" s="14">
        <v>296145.91999999998</v>
      </c>
      <c r="O29" s="14">
        <v>606834.72</v>
      </c>
    </row>
    <row r="30" spans="1:15" x14ac:dyDescent="0.25">
      <c r="A30" s="6" t="s">
        <v>28</v>
      </c>
      <c r="B30" s="6" t="s">
        <v>40</v>
      </c>
      <c r="C30" s="6" t="s">
        <v>21</v>
      </c>
      <c r="D30" s="6" t="s">
        <v>22</v>
      </c>
      <c r="E30" s="6" t="s">
        <v>18</v>
      </c>
      <c r="F30" s="1">
        <v>41747</v>
      </c>
      <c r="G30">
        <v>616607081</v>
      </c>
      <c r="H30">
        <f t="shared" si="0"/>
        <v>42</v>
      </c>
      <c r="I30" s="7">
        <v>41789</v>
      </c>
      <c r="J30" s="9">
        <v>6593</v>
      </c>
      <c r="K30" s="14">
        <v>205.7</v>
      </c>
      <c r="L30" s="19">
        <v>117.11</v>
      </c>
      <c r="M30" s="14">
        <v>1356180.1</v>
      </c>
      <c r="N30" s="14">
        <v>772106.23</v>
      </c>
      <c r="O30" s="14">
        <v>584073.87</v>
      </c>
    </row>
    <row r="31" spans="1:15" x14ac:dyDescent="0.25">
      <c r="A31" s="6" t="s">
        <v>71</v>
      </c>
      <c r="B31" s="6" t="s">
        <v>105</v>
      </c>
      <c r="C31" s="6" t="s">
        <v>44</v>
      </c>
      <c r="D31" s="6" t="s">
        <v>22</v>
      </c>
      <c r="E31" s="6" t="s">
        <v>27</v>
      </c>
      <c r="F31" s="1">
        <v>41170</v>
      </c>
      <c r="G31">
        <v>663110148</v>
      </c>
      <c r="H31">
        <f t="shared" si="0"/>
        <v>20</v>
      </c>
      <c r="I31" s="7">
        <v>41190</v>
      </c>
      <c r="J31" s="9">
        <v>7884</v>
      </c>
      <c r="K31" s="14">
        <v>109.28</v>
      </c>
      <c r="L31" s="19">
        <v>35.840000000000003</v>
      </c>
      <c r="M31" s="14">
        <v>861563.52</v>
      </c>
      <c r="N31" s="14">
        <v>282562.56</v>
      </c>
      <c r="O31" s="14">
        <v>579000.96</v>
      </c>
    </row>
    <row r="32" spans="1:15" x14ac:dyDescent="0.25">
      <c r="A32" s="6" t="s">
        <v>24</v>
      </c>
      <c r="B32" s="6" t="s">
        <v>79</v>
      </c>
      <c r="C32" s="6" t="s">
        <v>44</v>
      </c>
      <c r="D32" s="6" t="s">
        <v>17</v>
      </c>
      <c r="E32" s="6" t="s">
        <v>23</v>
      </c>
      <c r="F32" s="1">
        <v>41926</v>
      </c>
      <c r="G32">
        <v>787399423</v>
      </c>
      <c r="H32">
        <f t="shared" si="0"/>
        <v>31</v>
      </c>
      <c r="I32" s="7">
        <v>41957</v>
      </c>
      <c r="J32" s="9">
        <v>7842</v>
      </c>
      <c r="K32" s="14">
        <v>109.28</v>
      </c>
      <c r="L32" s="19">
        <v>35.840000000000003</v>
      </c>
      <c r="M32" s="14">
        <v>856973.76</v>
      </c>
      <c r="N32" s="14">
        <v>281057.28000000003</v>
      </c>
      <c r="O32" s="14">
        <v>575916.48</v>
      </c>
    </row>
    <row r="33" spans="1:15" x14ac:dyDescent="0.25">
      <c r="A33" s="6" t="s">
        <v>28</v>
      </c>
      <c r="B33" s="6" t="s">
        <v>95</v>
      </c>
      <c r="C33" s="6" t="s">
        <v>44</v>
      </c>
      <c r="D33" s="6" t="s">
        <v>17</v>
      </c>
      <c r="E33" s="6" t="s">
        <v>27</v>
      </c>
      <c r="F33" s="1">
        <v>42119</v>
      </c>
      <c r="G33">
        <v>610425555</v>
      </c>
      <c r="H33">
        <f t="shared" si="0"/>
        <v>33</v>
      </c>
      <c r="I33" s="7">
        <v>42152</v>
      </c>
      <c r="J33" s="9">
        <v>7342</v>
      </c>
      <c r="K33" s="14">
        <v>109.28</v>
      </c>
      <c r="L33" s="19">
        <v>35.840000000000003</v>
      </c>
      <c r="M33" s="14">
        <v>802333.76</v>
      </c>
      <c r="N33" s="14">
        <v>263137.28000000003</v>
      </c>
      <c r="O33" s="14">
        <v>539196.48</v>
      </c>
    </row>
    <row r="34" spans="1:15" x14ac:dyDescent="0.25">
      <c r="A34" s="6" t="s">
        <v>28</v>
      </c>
      <c r="B34" s="6" t="s">
        <v>64</v>
      </c>
      <c r="C34" s="6" t="s">
        <v>16</v>
      </c>
      <c r="D34" s="6" t="s">
        <v>17</v>
      </c>
      <c r="E34" s="6" t="s">
        <v>35</v>
      </c>
      <c r="F34" s="1">
        <v>41673</v>
      </c>
      <c r="G34">
        <v>494747245</v>
      </c>
      <c r="H34">
        <f t="shared" si="0"/>
        <v>45</v>
      </c>
      <c r="I34" s="7">
        <v>41718</v>
      </c>
      <c r="J34" s="9">
        <v>5559</v>
      </c>
      <c r="K34" s="14">
        <v>255.28</v>
      </c>
      <c r="L34" s="19">
        <v>159.41999999999999</v>
      </c>
      <c r="M34" s="14">
        <v>1419101.52</v>
      </c>
      <c r="N34" s="14">
        <v>886215.78</v>
      </c>
      <c r="O34" s="14">
        <v>532885.74</v>
      </c>
    </row>
    <row r="35" spans="1:15" x14ac:dyDescent="0.25">
      <c r="A35" s="6" t="s">
        <v>28</v>
      </c>
      <c r="B35" s="6" t="s">
        <v>36</v>
      </c>
      <c r="C35" s="6" t="s">
        <v>37</v>
      </c>
      <c r="D35" s="6" t="s">
        <v>22</v>
      </c>
      <c r="E35" s="6" t="s">
        <v>18</v>
      </c>
      <c r="F35" s="1">
        <v>41107</v>
      </c>
      <c r="G35">
        <v>871543967</v>
      </c>
      <c r="H35">
        <f t="shared" si="0"/>
        <v>10</v>
      </c>
      <c r="I35" s="7">
        <v>41117</v>
      </c>
      <c r="J35" s="9">
        <v>8082</v>
      </c>
      <c r="K35" s="14">
        <v>154.06</v>
      </c>
      <c r="L35" s="19">
        <v>90.93</v>
      </c>
      <c r="M35" s="14">
        <v>1245112.92</v>
      </c>
      <c r="N35" s="14">
        <v>734896.26</v>
      </c>
      <c r="O35" s="14">
        <v>510216.66</v>
      </c>
    </row>
    <row r="36" spans="1:15" x14ac:dyDescent="0.25">
      <c r="A36" s="6" t="s">
        <v>24</v>
      </c>
      <c r="B36" s="6" t="s">
        <v>48</v>
      </c>
      <c r="C36" s="6" t="s">
        <v>26</v>
      </c>
      <c r="D36" s="6" t="s">
        <v>22</v>
      </c>
      <c r="E36" s="6" t="s">
        <v>35</v>
      </c>
      <c r="F36" s="1">
        <v>40955</v>
      </c>
      <c r="G36">
        <v>189965903</v>
      </c>
      <c r="H36">
        <f t="shared" si="0"/>
        <v>12</v>
      </c>
      <c r="I36" s="7">
        <v>40967</v>
      </c>
      <c r="J36" s="9">
        <v>3987</v>
      </c>
      <c r="K36" s="14">
        <v>651.21</v>
      </c>
      <c r="L36" s="19">
        <v>524.96</v>
      </c>
      <c r="M36" s="14">
        <v>2596374.27</v>
      </c>
      <c r="N36" s="14">
        <v>2093015.52</v>
      </c>
      <c r="O36" s="14">
        <v>503358.75</v>
      </c>
    </row>
    <row r="37" spans="1:15" x14ac:dyDescent="0.25">
      <c r="A37" s="6" t="s">
        <v>24</v>
      </c>
      <c r="B37" s="6" t="s">
        <v>87</v>
      </c>
      <c r="C37" s="6" t="s">
        <v>50</v>
      </c>
      <c r="D37" s="6" t="s">
        <v>17</v>
      </c>
      <c r="E37" s="6" t="s">
        <v>18</v>
      </c>
      <c r="F37" s="1">
        <v>42058</v>
      </c>
      <c r="G37">
        <v>868214595</v>
      </c>
      <c r="H37">
        <f t="shared" si="0"/>
        <v>7</v>
      </c>
      <c r="I37" s="7">
        <v>42065</v>
      </c>
      <c r="J37" s="9">
        <v>2847</v>
      </c>
      <c r="K37" s="14">
        <v>437.2</v>
      </c>
      <c r="L37" s="19">
        <v>263.33</v>
      </c>
      <c r="M37" s="14">
        <v>1244708.3999999999</v>
      </c>
      <c r="N37" s="14">
        <v>749700.51</v>
      </c>
      <c r="O37" s="14">
        <v>495007.89</v>
      </c>
    </row>
    <row r="38" spans="1:15" x14ac:dyDescent="0.25">
      <c r="A38" s="6" t="s">
        <v>24</v>
      </c>
      <c r="B38" s="6" t="s">
        <v>89</v>
      </c>
      <c r="C38" s="6" t="s">
        <v>16</v>
      </c>
      <c r="D38" s="6" t="s">
        <v>22</v>
      </c>
      <c r="E38" s="6" t="s">
        <v>27</v>
      </c>
      <c r="F38" s="1">
        <v>41451</v>
      </c>
      <c r="G38">
        <v>569662845</v>
      </c>
      <c r="H38">
        <f t="shared" si="0"/>
        <v>5</v>
      </c>
      <c r="I38" s="7">
        <v>41456</v>
      </c>
      <c r="J38" s="9">
        <v>4750</v>
      </c>
      <c r="K38" s="14">
        <v>255.28</v>
      </c>
      <c r="L38" s="19">
        <v>159.41999999999999</v>
      </c>
      <c r="M38" s="14">
        <v>1212580</v>
      </c>
      <c r="N38" s="14">
        <v>757245</v>
      </c>
      <c r="O38" s="14">
        <v>455335</v>
      </c>
    </row>
    <row r="39" spans="1:15" x14ac:dyDescent="0.25">
      <c r="A39" s="6" t="s">
        <v>71</v>
      </c>
      <c r="B39" s="6" t="s">
        <v>90</v>
      </c>
      <c r="C39" s="6" t="s">
        <v>44</v>
      </c>
      <c r="D39" s="6" t="s">
        <v>17</v>
      </c>
      <c r="E39" s="6" t="s">
        <v>18</v>
      </c>
      <c r="F39" s="1">
        <v>40481</v>
      </c>
      <c r="G39">
        <v>705784308</v>
      </c>
      <c r="H39">
        <f t="shared" si="0"/>
        <v>18</v>
      </c>
      <c r="I39" s="7">
        <v>40499</v>
      </c>
      <c r="J39" s="9">
        <v>6116</v>
      </c>
      <c r="K39" s="14">
        <v>109.28</v>
      </c>
      <c r="L39" s="19">
        <v>35.840000000000003</v>
      </c>
      <c r="M39" s="14">
        <v>668356.48</v>
      </c>
      <c r="N39" s="14">
        <v>219197.44</v>
      </c>
      <c r="O39" s="14">
        <v>449159.04</v>
      </c>
    </row>
    <row r="40" spans="1:15" x14ac:dyDescent="0.25">
      <c r="A40" s="6" t="s">
        <v>28</v>
      </c>
      <c r="B40" s="6" t="s">
        <v>84</v>
      </c>
      <c r="C40" s="6" t="s">
        <v>26</v>
      </c>
      <c r="D40" s="6" t="s">
        <v>17</v>
      </c>
      <c r="E40" s="6" t="s">
        <v>35</v>
      </c>
      <c r="F40" s="1">
        <v>40873</v>
      </c>
      <c r="G40">
        <v>441888415</v>
      </c>
      <c r="H40">
        <f t="shared" si="0"/>
        <v>42</v>
      </c>
      <c r="I40" s="7">
        <v>40915</v>
      </c>
      <c r="J40" s="9">
        <v>3457</v>
      </c>
      <c r="K40" s="14">
        <v>651.21</v>
      </c>
      <c r="L40" s="19">
        <v>524.96</v>
      </c>
      <c r="M40" s="14">
        <v>2251232.9700000002</v>
      </c>
      <c r="N40" s="14">
        <v>1814786.72</v>
      </c>
      <c r="O40" s="14">
        <v>436446.25</v>
      </c>
    </row>
    <row r="41" spans="1:15" x14ac:dyDescent="0.25">
      <c r="A41" s="6" t="s">
        <v>41</v>
      </c>
      <c r="B41" s="6" t="s">
        <v>68</v>
      </c>
      <c r="C41" s="6" t="s">
        <v>44</v>
      </c>
      <c r="D41" s="6" t="s">
        <v>22</v>
      </c>
      <c r="E41" s="6" t="s">
        <v>18</v>
      </c>
      <c r="F41" s="1">
        <v>42322</v>
      </c>
      <c r="G41">
        <v>223359620</v>
      </c>
      <c r="H41">
        <f t="shared" si="0"/>
        <v>4</v>
      </c>
      <c r="I41" s="7">
        <v>42326</v>
      </c>
      <c r="J41" s="9">
        <v>5930</v>
      </c>
      <c r="K41" s="14">
        <v>109.28</v>
      </c>
      <c r="L41" s="19">
        <v>35.840000000000003</v>
      </c>
      <c r="M41" s="14">
        <v>648030.4</v>
      </c>
      <c r="N41" s="14">
        <v>212531.20000000001</v>
      </c>
      <c r="O41" s="14">
        <v>435499.2</v>
      </c>
    </row>
    <row r="42" spans="1:15" x14ac:dyDescent="0.25">
      <c r="A42" s="6" t="s">
        <v>28</v>
      </c>
      <c r="B42" s="6" t="s">
        <v>108</v>
      </c>
      <c r="C42" s="6" t="s">
        <v>37</v>
      </c>
      <c r="D42" s="6" t="s">
        <v>22</v>
      </c>
      <c r="E42" s="6" t="s">
        <v>27</v>
      </c>
      <c r="F42" s="1">
        <v>40986</v>
      </c>
      <c r="G42">
        <v>827844560</v>
      </c>
      <c r="H42">
        <f t="shared" si="0"/>
        <v>20</v>
      </c>
      <c r="I42" s="7">
        <v>41006</v>
      </c>
      <c r="J42" s="9">
        <v>6457</v>
      </c>
      <c r="K42" s="14">
        <v>154.06</v>
      </c>
      <c r="L42" s="19">
        <v>90.93</v>
      </c>
      <c r="M42" s="14">
        <v>994765.42</v>
      </c>
      <c r="N42" s="14">
        <v>587135.01</v>
      </c>
      <c r="O42" s="14">
        <v>407630.41</v>
      </c>
    </row>
    <row r="43" spans="1:15" x14ac:dyDescent="0.25">
      <c r="A43" s="6" t="s">
        <v>28</v>
      </c>
      <c r="B43" s="6" t="s">
        <v>69</v>
      </c>
      <c r="C43" s="6" t="s">
        <v>58</v>
      </c>
      <c r="D43" s="6" t="s">
        <v>22</v>
      </c>
      <c r="E43" s="6" t="s">
        <v>35</v>
      </c>
      <c r="F43" s="1">
        <v>42791</v>
      </c>
      <c r="G43">
        <v>756274640</v>
      </c>
      <c r="H43">
        <f t="shared" si="0"/>
        <v>0</v>
      </c>
      <c r="I43" s="7">
        <v>42791</v>
      </c>
      <c r="J43" s="9">
        <v>7327</v>
      </c>
      <c r="K43" s="14">
        <v>152.58000000000001</v>
      </c>
      <c r="L43" s="19">
        <v>97.44</v>
      </c>
      <c r="M43" s="14">
        <v>1117953.6599999999</v>
      </c>
      <c r="N43" s="14">
        <v>713942.88</v>
      </c>
      <c r="O43" s="14">
        <v>404010.78</v>
      </c>
    </row>
    <row r="44" spans="1:15" x14ac:dyDescent="0.25">
      <c r="A44" s="6" t="s">
        <v>19</v>
      </c>
      <c r="B44" s="6" t="s">
        <v>93</v>
      </c>
      <c r="C44" s="6" t="s">
        <v>44</v>
      </c>
      <c r="D44" s="6" t="s">
        <v>17</v>
      </c>
      <c r="E44" s="6" t="s">
        <v>35</v>
      </c>
      <c r="F44" s="1">
        <v>42576</v>
      </c>
      <c r="G44">
        <v>807025039</v>
      </c>
      <c r="H44">
        <f t="shared" si="0"/>
        <v>44</v>
      </c>
      <c r="I44" s="7">
        <v>42620</v>
      </c>
      <c r="J44" s="9">
        <v>5498</v>
      </c>
      <c r="K44" s="14">
        <v>109.28</v>
      </c>
      <c r="L44" s="19">
        <v>35.840000000000003</v>
      </c>
      <c r="M44" s="14">
        <v>600821.43999999994</v>
      </c>
      <c r="N44" s="14">
        <v>197048.32000000001</v>
      </c>
      <c r="O44" s="14">
        <v>403773.12</v>
      </c>
    </row>
    <row r="45" spans="1:15" x14ac:dyDescent="0.25">
      <c r="A45" s="6" t="s">
        <v>28</v>
      </c>
      <c r="B45" s="6" t="s">
        <v>64</v>
      </c>
      <c r="C45" s="6" t="s">
        <v>34</v>
      </c>
      <c r="D45" s="6" t="s">
        <v>17</v>
      </c>
      <c r="E45" s="6" t="s">
        <v>27</v>
      </c>
      <c r="F45" s="1">
        <v>41055</v>
      </c>
      <c r="G45">
        <v>886494815</v>
      </c>
      <c r="H45">
        <f t="shared" si="0"/>
        <v>14</v>
      </c>
      <c r="I45" s="7">
        <v>41069</v>
      </c>
      <c r="J45" s="9">
        <v>2370</v>
      </c>
      <c r="K45" s="14">
        <v>668.27</v>
      </c>
      <c r="L45" s="19">
        <v>502.54</v>
      </c>
      <c r="M45" s="14">
        <v>1583799.9</v>
      </c>
      <c r="N45" s="14">
        <v>1191019.8</v>
      </c>
      <c r="O45" s="14">
        <v>392780.1</v>
      </c>
    </row>
    <row r="46" spans="1:15" x14ac:dyDescent="0.25">
      <c r="A46" s="6" t="s">
        <v>14</v>
      </c>
      <c r="B46" s="6" t="s">
        <v>67</v>
      </c>
      <c r="C46" s="6" t="s">
        <v>26</v>
      </c>
      <c r="D46" s="6" t="s">
        <v>22</v>
      </c>
      <c r="E46" s="6" t="s">
        <v>23</v>
      </c>
      <c r="F46" s="1">
        <v>42304</v>
      </c>
      <c r="G46">
        <v>158535134</v>
      </c>
      <c r="H46">
        <f t="shared" si="0"/>
        <v>29</v>
      </c>
      <c r="I46" s="7">
        <v>42333</v>
      </c>
      <c r="J46" s="9">
        <v>2924</v>
      </c>
      <c r="K46" s="14">
        <v>651.21</v>
      </c>
      <c r="L46" s="19">
        <v>524.96</v>
      </c>
      <c r="M46" s="14">
        <v>1904138.04</v>
      </c>
      <c r="N46" s="14">
        <v>1534983.04</v>
      </c>
      <c r="O46" s="14">
        <v>369155</v>
      </c>
    </row>
    <row r="47" spans="1:15" x14ac:dyDescent="0.25">
      <c r="A47" s="6" t="s">
        <v>71</v>
      </c>
      <c r="B47" s="6" t="s">
        <v>83</v>
      </c>
      <c r="C47" s="6" t="s">
        <v>21</v>
      </c>
      <c r="D47" s="6" t="s">
        <v>22</v>
      </c>
      <c r="E47" s="6" t="s">
        <v>35</v>
      </c>
      <c r="F47" s="1">
        <v>41358</v>
      </c>
      <c r="G47">
        <v>844530045</v>
      </c>
      <c r="H47">
        <f t="shared" si="0"/>
        <v>3</v>
      </c>
      <c r="I47" s="7">
        <v>41361</v>
      </c>
      <c r="J47" s="9">
        <v>4063</v>
      </c>
      <c r="K47" s="14">
        <v>205.7</v>
      </c>
      <c r="L47" s="19">
        <v>117.11</v>
      </c>
      <c r="M47" s="14">
        <v>835759.1</v>
      </c>
      <c r="N47" s="14">
        <v>475817.93</v>
      </c>
      <c r="O47" s="14">
        <v>359941.17</v>
      </c>
    </row>
    <row r="48" spans="1:15" x14ac:dyDescent="0.25">
      <c r="A48" s="6" t="s">
        <v>14</v>
      </c>
      <c r="B48" s="6" t="s">
        <v>54</v>
      </c>
      <c r="C48" s="6" t="s">
        <v>55</v>
      </c>
      <c r="D48" s="6" t="s">
        <v>22</v>
      </c>
      <c r="E48" s="6" t="s">
        <v>27</v>
      </c>
      <c r="F48" s="1">
        <v>41121</v>
      </c>
      <c r="G48">
        <v>322067916</v>
      </c>
      <c r="H48">
        <f t="shared" si="0"/>
        <v>42</v>
      </c>
      <c r="I48" s="7">
        <v>41163</v>
      </c>
      <c r="J48" s="9">
        <v>5908</v>
      </c>
      <c r="K48" s="14">
        <v>421.89</v>
      </c>
      <c r="L48" s="19">
        <v>364.69</v>
      </c>
      <c r="M48" s="14">
        <v>2492526.12</v>
      </c>
      <c r="N48" s="14">
        <v>2154588.52</v>
      </c>
      <c r="O48" s="14">
        <v>337937.6</v>
      </c>
    </row>
    <row r="49" spans="1:15" x14ac:dyDescent="0.25">
      <c r="A49" s="6" t="s">
        <v>24</v>
      </c>
      <c r="B49" s="6" t="s">
        <v>61</v>
      </c>
      <c r="C49" s="6" t="s">
        <v>50</v>
      </c>
      <c r="D49" s="6" t="s">
        <v>22</v>
      </c>
      <c r="E49" s="6" t="s">
        <v>18</v>
      </c>
      <c r="F49" s="1">
        <v>42877</v>
      </c>
      <c r="G49">
        <v>898523128</v>
      </c>
      <c r="H49">
        <f t="shared" si="0"/>
        <v>14</v>
      </c>
      <c r="I49" s="7">
        <v>42891</v>
      </c>
      <c r="J49" s="9">
        <v>1815</v>
      </c>
      <c r="K49" s="14">
        <v>437.2</v>
      </c>
      <c r="L49" s="19">
        <v>263.33</v>
      </c>
      <c r="M49" s="14">
        <v>793518</v>
      </c>
      <c r="N49" s="14">
        <v>477943.95</v>
      </c>
      <c r="O49" s="14">
        <v>315574.05</v>
      </c>
    </row>
    <row r="50" spans="1:15" x14ac:dyDescent="0.25">
      <c r="A50" s="6" t="s">
        <v>28</v>
      </c>
      <c r="B50" s="6" t="s">
        <v>43</v>
      </c>
      <c r="C50" s="6" t="s">
        <v>44</v>
      </c>
      <c r="D50" s="6" t="s">
        <v>17</v>
      </c>
      <c r="E50" s="6" t="s">
        <v>18</v>
      </c>
      <c r="F50" s="1">
        <v>41853</v>
      </c>
      <c r="G50">
        <v>939825713</v>
      </c>
      <c r="H50">
        <f t="shared" si="0"/>
        <v>17</v>
      </c>
      <c r="I50" s="7">
        <v>41870</v>
      </c>
      <c r="J50" s="9">
        <v>4168</v>
      </c>
      <c r="K50" s="14">
        <v>109.28</v>
      </c>
      <c r="L50" s="19">
        <v>35.840000000000003</v>
      </c>
      <c r="M50" s="14">
        <v>455479.03999999998</v>
      </c>
      <c r="N50" s="14">
        <v>149381.12</v>
      </c>
      <c r="O50" s="14">
        <v>306097.91999999998</v>
      </c>
    </row>
    <row r="51" spans="1:15" x14ac:dyDescent="0.25">
      <c r="A51" s="6" t="s">
        <v>19</v>
      </c>
      <c r="B51" s="6" t="s">
        <v>91</v>
      </c>
      <c r="C51" s="6" t="s">
        <v>50</v>
      </c>
      <c r="D51" s="6" t="s">
        <v>17</v>
      </c>
      <c r="E51" s="6" t="s">
        <v>18</v>
      </c>
      <c r="F51" s="1">
        <v>41560</v>
      </c>
      <c r="G51">
        <v>505716836</v>
      </c>
      <c r="H51">
        <f t="shared" si="0"/>
        <v>34</v>
      </c>
      <c r="I51" s="7">
        <v>41594</v>
      </c>
      <c r="J51" s="9">
        <v>1705</v>
      </c>
      <c r="K51" s="14">
        <v>437.2</v>
      </c>
      <c r="L51" s="19">
        <v>263.33</v>
      </c>
      <c r="M51" s="14">
        <v>745426</v>
      </c>
      <c r="N51" s="14">
        <v>448977.65</v>
      </c>
      <c r="O51" s="14">
        <v>296448.34999999998</v>
      </c>
    </row>
    <row r="52" spans="1:15" x14ac:dyDescent="0.25">
      <c r="A52" s="6" t="s">
        <v>14</v>
      </c>
      <c r="B52" s="6" t="s">
        <v>32</v>
      </c>
      <c r="C52" s="6" t="s">
        <v>16</v>
      </c>
      <c r="D52" s="6" t="s">
        <v>22</v>
      </c>
      <c r="E52" s="6" t="s">
        <v>23</v>
      </c>
      <c r="F52" s="1">
        <v>42039</v>
      </c>
      <c r="G52">
        <v>547995746</v>
      </c>
      <c r="H52">
        <f t="shared" si="0"/>
        <v>17</v>
      </c>
      <c r="I52" s="7">
        <v>42056</v>
      </c>
      <c r="J52" s="9">
        <v>2974</v>
      </c>
      <c r="K52" s="14">
        <v>255.28</v>
      </c>
      <c r="L52" s="19">
        <v>159.41999999999999</v>
      </c>
      <c r="M52" s="14">
        <v>759202.72</v>
      </c>
      <c r="N52" s="14">
        <v>474115.08</v>
      </c>
      <c r="O52" s="14">
        <v>285087.64</v>
      </c>
    </row>
    <row r="53" spans="1:15" x14ac:dyDescent="0.25">
      <c r="A53" s="6" t="s">
        <v>28</v>
      </c>
      <c r="B53" s="6" t="s">
        <v>64</v>
      </c>
      <c r="C53" s="6" t="s">
        <v>55</v>
      </c>
      <c r="D53" s="6" t="s">
        <v>22</v>
      </c>
      <c r="E53" s="6" t="s">
        <v>35</v>
      </c>
      <c r="F53" s="1">
        <v>42749</v>
      </c>
      <c r="G53">
        <v>825304400</v>
      </c>
      <c r="H53">
        <f t="shared" si="0"/>
        <v>9</v>
      </c>
      <c r="I53" s="7">
        <v>42758</v>
      </c>
      <c r="J53" s="9">
        <v>4767</v>
      </c>
      <c r="K53" s="14">
        <v>421.89</v>
      </c>
      <c r="L53" s="19">
        <v>364.69</v>
      </c>
      <c r="M53" s="14">
        <v>2011149.63</v>
      </c>
      <c r="N53" s="14">
        <v>1738477.23</v>
      </c>
      <c r="O53" s="14">
        <v>272672.40000000002</v>
      </c>
    </row>
    <row r="54" spans="1:15" x14ac:dyDescent="0.25">
      <c r="A54" s="6" t="s">
        <v>28</v>
      </c>
      <c r="B54" s="6" t="s">
        <v>85</v>
      </c>
      <c r="C54" s="6" t="s">
        <v>44</v>
      </c>
      <c r="D54" s="6" t="s">
        <v>22</v>
      </c>
      <c r="E54" s="6" t="s">
        <v>23</v>
      </c>
      <c r="F54" s="1">
        <v>41068</v>
      </c>
      <c r="G54">
        <v>114606559</v>
      </c>
      <c r="H54">
        <f t="shared" si="0"/>
        <v>19</v>
      </c>
      <c r="I54" s="7">
        <v>41087</v>
      </c>
      <c r="J54" s="9">
        <v>3482</v>
      </c>
      <c r="K54" s="14">
        <v>109.28</v>
      </c>
      <c r="L54" s="19">
        <v>35.840000000000003</v>
      </c>
      <c r="M54" s="14">
        <v>380512.96</v>
      </c>
      <c r="N54" s="14">
        <v>124794.88</v>
      </c>
      <c r="O54" s="14">
        <v>255718.08</v>
      </c>
    </row>
    <row r="55" spans="1:15" x14ac:dyDescent="0.25">
      <c r="A55" s="6" t="s">
        <v>71</v>
      </c>
      <c r="B55" s="6" t="s">
        <v>75</v>
      </c>
      <c r="C55" s="6" t="s">
        <v>26</v>
      </c>
      <c r="D55" s="6" t="s">
        <v>22</v>
      </c>
      <c r="E55" s="6" t="s">
        <v>35</v>
      </c>
      <c r="F55" s="1">
        <v>41073</v>
      </c>
      <c r="G55">
        <v>423331391</v>
      </c>
      <c r="H55">
        <f t="shared" si="0"/>
        <v>41</v>
      </c>
      <c r="I55" s="7">
        <v>41114</v>
      </c>
      <c r="J55" s="9">
        <v>2021</v>
      </c>
      <c r="K55" s="14">
        <v>651.21</v>
      </c>
      <c r="L55" s="19">
        <v>524.96</v>
      </c>
      <c r="M55" s="14">
        <v>1316095.4099999999</v>
      </c>
      <c r="N55" s="14">
        <v>1060944.1599999999</v>
      </c>
      <c r="O55" s="14">
        <v>255151.25</v>
      </c>
    </row>
    <row r="56" spans="1:15" x14ac:dyDescent="0.25">
      <c r="A56" s="6" t="s">
        <v>19</v>
      </c>
      <c r="B56" s="6" t="s">
        <v>20</v>
      </c>
      <c r="C56" s="6" t="s">
        <v>21</v>
      </c>
      <c r="D56" s="6" t="s">
        <v>22</v>
      </c>
      <c r="E56" s="6" t="s">
        <v>23</v>
      </c>
      <c r="F56" s="1">
        <v>41143</v>
      </c>
      <c r="G56">
        <v>963881480</v>
      </c>
      <c r="H56">
        <f t="shared" si="0"/>
        <v>24</v>
      </c>
      <c r="I56" s="7">
        <v>41167</v>
      </c>
      <c r="J56" s="9">
        <v>2804</v>
      </c>
      <c r="K56" s="14">
        <v>205.7</v>
      </c>
      <c r="L56" s="19">
        <v>117.11</v>
      </c>
      <c r="M56" s="14">
        <v>576782.80000000005</v>
      </c>
      <c r="N56" s="14">
        <v>328376.44</v>
      </c>
      <c r="O56" s="14">
        <v>248406.36</v>
      </c>
    </row>
    <row r="57" spans="1:15" x14ac:dyDescent="0.25">
      <c r="A57" s="6" t="s">
        <v>41</v>
      </c>
      <c r="B57" s="6" t="s">
        <v>101</v>
      </c>
      <c r="C57" s="6" t="s">
        <v>37</v>
      </c>
      <c r="D57" s="6" t="s">
        <v>17</v>
      </c>
      <c r="E57" s="6" t="s">
        <v>23</v>
      </c>
      <c r="F57" s="1">
        <v>40801</v>
      </c>
      <c r="G57">
        <v>789176547</v>
      </c>
      <c r="H57">
        <f t="shared" si="0"/>
        <v>38</v>
      </c>
      <c r="I57" s="7">
        <v>40839</v>
      </c>
      <c r="J57" s="9">
        <v>3732</v>
      </c>
      <c r="K57" s="14">
        <v>154.06</v>
      </c>
      <c r="L57" s="19">
        <v>90.93</v>
      </c>
      <c r="M57" s="14">
        <v>574951.92000000004</v>
      </c>
      <c r="N57" s="14">
        <v>339350.76</v>
      </c>
      <c r="O57" s="14">
        <v>235601.16</v>
      </c>
    </row>
    <row r="58" spans="1:15" x14ac:dyDescent="0.25">
      <c r="A58" s="6" t="s">
        <v>28</v>
      </c>
      <c r="B58" s="6" t="s">
        <v>107</v>
      </c>
      <c r="C58" s="6" t="s">
        <v>58</v>
      </c>
      <c r="D58" s="6" t="s">
        <v>22</v>
      </c>
      <c r="E58" s="6" t="s">
        <v>27</v>
      </c>
      <c r="F58" s="1">
        <v>40634</v>
      </c>
      <c r="G58">
        <v>122583663</v>
      </c>
      <c r="H58">
        <f t="shared" si="0"/>
        <v>30</v>
      </c>
      <c r="I58" s="7">
        <v>40664</v>
      </c>
      <c r="J58" s="9">
        <v>4085</v>
      </c>
      <c r="K58" s="14">
        <v>152.58000000000001</v>
      </c>
      <c r="L58" s="19">
        <v>97.44</v>
      </c>
      <c r="M58" s="14">
        <v>623289.30000000005</v>
      </c>
      <c r="N58" s="14">
        <v>398042.4</v>
      </c>
      <c r="O58" s="14">
        <v>225246.9</v>
      </c>
    </row>
    <row r="59" spans="1:15" x14ac:dyDescent="0.25">
      <c r="A59" s="6" t="s">
        <v>24</v>
      </c>
      <c r="B59" s="6" t="s">
        <v>25</v>
      </c>
      <c r="C59" s="6" t="s">
        <v>26</v>
      </c>
      <c r="D59" s="6" t="s">
        <v>17</v>
      </c>
      <c r="E59" s="6" t="s">
        <v>27</v>
      </c>
      <c r="F59" s="1">
        <v>41761</v>
      </c>
      <c r="G59">
        <v>341417157</v>
      </c>
      <c r="H59">
        <f t="shared" si="0"/>
        <v>6</v>
      </c>
      <c r="I59" s="7">
        <v>41767</v>
      </c>
      <c r="J59" s="9">
        <v>1779</v>
      </c>
      <c r="K59" s="14">
        <v>651.21</v>
      </c>
      <c r="L59" s="19">
        <v>524.96</v>
      </c>
      <c r="M59" s="14">
        <v>1158502.5900000001</v>
      </c>
      <c r="N59" s="14">
        <v>933903.84</v>
      </c>
      <c r="O59" s="14">
        <v>224598.75</v>
      </c>
    </row>
    <row r="60" spans="1:15" x14ac:dyDescent="0.25">
      <c r="A60" s="6" t="s">
        <v>28</v>
      </c>
      <c r="B60" s="6" t="s">
        <v>92</v>
      </c>
      <c r="C60" s="6" t="s">
        <v>39</v>
      </c>
      <c r="D60" s="6" t="s">
        <v>17</v>
      </c>
      <c r="E60" s="6" t="s">
        <v>27</v>
      </c>
      <c r="F60" s="1">
        <v>41098</v>
      </c>
      <c r="G60">
        <v>228944623</v>
      </c>
      <c r="H60">
        <f t="shared" si="0"/>
        <v>1</v>
      </c>
      <c r="I60" s="7">
        <v>41099</v>
      </c>
      <c r="J60" s="9">
        <v>8656</v>
      </c>
      <c r="K60" s="14">
        <v>81.73</v>
      </c>
      <c r="L60" s="19">
        <v>56.67</v>
      </c>
      <c r="M60" s="14">
        <v>707454.88</v>
      </c>
      <c r="N60" s="14">
        <v>490535.52</v>
      </c>
      <c r="O60" s="14">
        <v>216919.36</v>
      </c>
    </row>
    <row r="61" spans="1:15" x14ac:dyDescent="0.25">
      <c r="A61" s="6" t="s">
        <v>28</v>
      </c>
      <c r="B61" s="6" t="s">
        <v>64</v>
      </c>
      <c r="C61" s="6" t="s">
        <v>21</v>
      </c>
      <c r="D61" s="6" t="s">
        <v>17</v>
      </c>
      <c r="E61" s="6" t="s">
        <v>18</v>
      </c>
      <c r="F61" s="1">
        <v>41067</v>
      </c>
      <c r="G61">
        <v>994022214</v>
      </c>
      <c r="H61">
        <f t="shared" si="0"/>
        <v>1</v>
      </c>
      <c r="I61" s="7">
        <v>41068</v>
      </c>
      <c r="J61" s="9">
        <v>2117</v>
      </c>
      <c r="K61" s="14">
        <v>205.7</v>
      </c>
      <c r="L61" s="19">
        <v>117.11</v>
      </c>
      <c r="M61" s="14">
        <v>435466.9</v>
      </c>
      <c r="N61" s="14">
        <v>247921.87</v>
      </c>
      <c r="O61" s="14">
        <v>187545.03</v>
      </c>
    </row>
    <row r="62" spans="1:15" x14ac:dyDescent="0.25">
      <c r="A62" s="6" t="s">
        <v>24</v>
      </c>
      <c r="B62" s="6" t="s">
        <v>81</v>
      </c>
      <c r="C62" s="6" t="s">
        <v>44</v>
      </c>
      <c r="D62" s="6" t="s">
        <v>22</v>
      </c>
      <c r="E62" s="6" t="s">
        <v>23</v>
      </c>
      <c r="F62" s="1">
        <v>40211</v>
      </c>
      <c r="G62">
        <v>385383069</v>
      </c>
      <c r="H62">
        <f t="shared" si="0"/>
        <v>44</v>
      </c>
      <c r="I62" s="7">
        <v>40255</v>
      </c>
      <c r="J62" s="9">
        <v>2269</v>
      </c>
      <c r="K62" s="14">
        <v>109.28</v>
      </c>
      <c r="L62" s="19">
        <v>35.840000000000003</v>
      </c>
      <c r="M62" s="14">
        <v>247956.32</v>
      </c>
      <c r="N62" s="14">
        <v>81320.960000000006</v>
      </c>
      <c r="O62" s="14">
        <v>166635.35999999999</v>
      </c>
    </row>
    <row r="63" spans="1:15" x14ac:dyDescent="0.25">
      <c r="A63" s="6" t="s">
        <v>98</v>
      </c>
      <c r="B63" s="6" t="s">
        <v>99</v>
      </c>
      <c r="C63" s="6" t="s">
        <v>39</v>
      </c>
      <c r="D63" s="6" t="s">
        <v>17</v>
      </c>
      <c r="E63" s="6" t="s">
        <v>27</v>
      </c>
      <c r="F63" s="1">
        <v>40956</v>
      </c>
      <c r="G63">
        <v>430915820</v>
      </c>
      <c r="H63">
        <f t="shared" si="0"/>
        <v>32</v>
      </c>
      <c r="I63" s="7">
        <v>40988</v>
      </c>
      <c r="J63" s="9">
        <v>6422</v>
      </c>
      <c r="K63" s="14">
        <v>81.73</v>
      </c>
      <c r="L63" s="19">
        <v>56.67</v>
      </c>
      <c r="M63" s="14">
        <v>524870.06000000006</v>
      </c>
      <c r="N63" s="14">
        <v>363934.74</v>
      </c>
      <c r="O63" s="14">
        <v>160935.32</v>
      </c>
    </row>
    <row r="64" spans="1:15" x14ac:dyDescent="0.25">
      <c r="A64" s="6" t="s">
        <v>19</v>
      </c>
      <c r="B64" s="6" t="s">
        <v>70</v>
      </c>
      <c r="C64" s="6" t="s">
        <v>39</v>
      </c>
      <c r="D64" s="6" t="s">
        <v>17</v>
      </c>
      <c r="E64" s="6" t="s">
        <v>27</v>
      </c>
      <c r="F64" s="1">
        <v>42863</v>
      </c>
      <c r="G64">
        <v>456767165</v>
      </c>
      <c r="H64">
        <f t="shared" si="0"/>
        <v>13</v>
      </c>
      <c r="I64" s="7">
        <v>42876</v>
      </c>
      <c r="J64" s="9">
        <v>6409</v>
      </c>
      <c r="K64" s="14">
        <v>81.73</v>
      </c>
      <c r="L64" s="19">
        <v>56.67</v>
      </c>
      <c r="M64" s="14">
        <v>523807.57</v>
      </c>
      <c r="N64" s="14">
        <v>363198.03</v>
      </c>
      <c r="O64" s="14">
        <v>160609.54</v>
      </c>
    </row>
    <row r="65" spans="1:15" x14ac:dyDescent="0.25">
      <c r="A65" s="6" t="s">
        <v>28</v>
      </c>
      <c r="B65" s="6" t="s">
        <v>80</v>
      </c>
      <c r="C65" s="6" t="s">
        <v>26</v>
      </c>
      <c r="D65" s="6" t="s">
        <v>17</v>
      </c>
      <c r="E65" s="6" t="s">
        <v>23</v>
      </c>
      <c r="F65" s="1">
        <v>40919</v>
      </c>
      <c r="G65">
        <v>837559306</v>
      </c>
      <c r="H65">
        <f t="shared" si="0"/>
        <v>2</v>
      </c>
      <c r="I65" s="7">
        <v>40921</v>
      </c>
      <c r="J65" s="9">
        <v>1266</v>
      </c>
      <c r="K65" s="14">
        <v>651.21</v>
      </c>
      <c r="L65" s="19">
        <v>524.96</v>
      </c>
      <c r="M65" s="14">
        <v>824431.86</v>
      </c>
      <c r="N65" s="14">
        <v>664599.36</v>
      </c>
      <c r="O65" s="14">
        <v>159832.5</v>
      </c>
    </row>
    <row r="66" spans="1:15" x14ac:dyDescent="0.25">
      <c r="A66" s="6" t="s">
        <v>28</v>
      </c>
      <c r="B66" s="6" t="s">
        <v>38</v>
      </c>
      <c r="C66" s="6" t="s">
        <v>39</v>
      </c>
      <c r="D66" s="6" t="s">
        <v>17</v>
      </c>
      <c r="E66" s="6" t="s">
        <v>35</v>
      </c>
      <c r="F66" s="1">
        <v>42199</v>
      </c>
      <c r="G66">
        <v>770463311</v>
      </c>
      <c r="H66">
        <f t="shared" si="0"/>
        <v>42</v>
      </c>
      <c r="I66" s="7">
        <v>42241</v>
      </c>
      <c r="J66" s="9">
        <v>6070</v>
      </c>
      <c r="K66" s="14">
        <v>81.73</v>
      </c>
      <c r="L66" s="19">
        <v>56.67</v>
      </c>
      <c r="M66" s="14">
        <v>496101.1</v>
      </c>
      <c r="N66" s="14">
        <v>343986.9</v>
      </c>
      <c r="O66" s="14">
        <v>152114.20000000001</v>
      </c>
    </row>
    <row r="67" spans="1:15" x14ac:dyDescent="0.25">
      <c r="A67" s="6" t="s">
        <v>14</v>
      </c>
      <c r="B67" s="6" t="s">
        <v>67</v>
      </c>
      <c r="C67" s="6" t="s">
        <v>52</v>
      </c>
      <c r="D67" s="6" t="s">
        <v>17</v>
      </c>
      <c r="E67" s="6" t="s">
        <v>18</v>
      </c>
      <c r="F67" s="1">
        <v>41827</v>
      </c>
      <c r="G67">
        <v>240470397</v>
      </c>
      <c r="H67">
        <f t="shared" ref="H67:H101" si="1">I67-F67</f>
        <v>4</v>
      </c>
      <c r="I67" s="7">
        <v>41831</v>
      </c>
      <c r="J67" s="9">
        <v>9389</v>
      </c>
      <c r="K67" s="14">
        <v>47.45</v>
      </c>
      <c r="L67" s="19">
        <v>31.79</v>
      </c>
      <c r="M67" s="14">
        <v>445508.05</v>
      </c>
      <c r="N67" s="14">
        <v>298476.31</v>
      </c>
      <c r="O67" s="14">
        <v>147031.74</v>
      </c>
    </row>
    <row r="68" spans="1:15" x14ac:dyDescent="0.25">
      <c r="A68" s="6" t="s">
        <v>14</v>
      </c>
      <c r="B68" s="6" t="s">
        <v>100</v>
      </c>
      <c r="C68" s="6" t="s">
        <v>52</v>
      </c>
      <c r="D68" s="6" t="s">
        <v>22</v>
      </c>
      <c r="E68" s="6" t="s">
        <v>23</v>
      </c>
      <c r="F68" s="1">
        <v>41940</v>
      </c>
      <c r="G68">
        <v>217221009</v>
      </c>
      <c r="H68">
        <f t="shared" si="1"/>
        <v>18</v>
      </c>
      <c r="I68" s="7">
        <v>41958</v>
      </c>
      <c r="J68" s="9">
        <v>9379</v>
      </c>
      <c r="K68" s="14">
        <v>47.45</v>
      </c>
      <c r="L68" s="19">
        <v>31.79</v>
      </c>
      <c r="M68" s="14">
        <v>445033.55</v>
      </c>
      <c r="N68" s="14">
        <v>298158.40999999997</v>
      </c>
      <c r="O68" s="14">
        <v>146875.14000000001</v>
      </c>
    </row>
    <row r="69" spans="1:15" x14ac:dyDescent="0.25">
      <c r="A69" s="6" t="s">
        <v>98</v>
      </c>
      <c r="B69" s="6" t="s">
        <v>99</v>
      </c>
      <c r="C69" s="6" t="s">
        <v>39</v>
      </c>
      <c r="D69" s="6" t="s">
        <v>17</v>
      </c>
      <c r="E69" s="6" t="s">
        <v>35</v>
      </c>
      <c r="F69" s="1">
        <v>42215</v>
      </c>
      <c r="G69">
        <v>559427106</v>
      </c>
      <c r="H69">
        <f t="shared" si="1"/>
        <v>9</v>
      </c>
      <c r="I69" s="7">
        <v>42224</v>
      </c>
      <c r="J69" s="9">
        <v>5767</v>
      </c>
      <c r="K69" s="14">
        <v>81.73</v>
      </c>
      <c r="L69" s="19">
        <v>56.67</v>
      </c>
      <c r="M69" s="14">
        <v>471336.91</v>
      </c>
      <c r="N69" s="14">
        <v>326815.89</v>
      </c>
      <c r="O69" s="14">
        <v>144521.01999999999</v>
      </c>
    </row>
    <row r="70" spans="1:15" x14ac:dyDescent="0.25">
      <c r="A70" s="6" t="s">
        <v>28</v>
      </c>
      <c r="B70" s="6" t="s">
        <v>29</v>
      </c>
      <c r="C70" s="6" t="s">
        <v>52</v>
      </c>
      <c r="D70" s="6" t="s">
        <v>17</v>
      </c>
      <c r="E70" s="6" t="s">
        <v>23</v>
      </c>
      <c r="F70" s="1">
        <v>40559</v>
      </c>
      <c r="G70">
        <v>180283772</v>
      </c>
      <c r="H70">
        <f t="shared" si="1"/>
        <v>5</v>
      </c>
      <c r="I70" s="7">
        <v>40564</v>
      </c>
      <c r="J70" s="9">
        <v>8829</v>
      </c>
      <c r="K70" s="14">
        <v>47.45</v>
      </c>
      <c r="L70" s="19">
        <v>31.79</v>
      </c>
      <c r="M70" s="14">
        <v>418936.05</v>
      </c>
      <c r="N70" s="14">
        <v>280673.90999999997</v>
      </c>
      <c r="O70" s="14">
        <v>138262.14000000001</v>
      </c>
    </row>
    <row r="71" spans="1:15" x14ac:dyDescent="0.25">
      <c r="A71" s="6" t="s">
        <v>19</v>
      </c>
      <c r="B71" s="6" t="s">
        <v>112</v>
      </c>
      <c r="C71" s="6" t="s">
        <v>52</v>
      </c>
      <c r="D71" s="6" t="s">
        <v>17</v>
      </c>
      <c r="E71" s="6" t="s">
        <v>23</v>
      </c>
      <c r="F71" s="1">
        <v>40582</v>
      </c>
      <c r="G71">
        <v>963392674</v>
      </c>
      <c r="H71">
        <f t="shared" si="1"/>
        <v>41</v>
      </c>
      <c r="I71" s="7">
        <v>40623</v>
      </c>
      <c r="J71" s="9">
        <v>8156</v>
      </c>
      <c r="K71" s="14">
        <v>47.45</v>
      </c>
      <c r="L71" s="19">
        <v>31.79</v>
      </c>
      <c r="M71" s="14">
        <v>387002.2</v>
      </c>
      <c r="N71" s="14">
        <v>259279.24</v>
      </c>
      <c r="O71" s="14">
        <v>127722.96</v>
      </c>
    </row>
    <row r="72" spans="1:15" x14ac:dyDescent="0.25">
      <c r="A72" s="6" t="s">
        <v>24</v>
      </c>
      <c r="B72" s="6" t="s">
        <v>60</v>
      </c>
      <c r="C72" s="6" t="s">
        <v>39</v>
      </c>
      <c r="D72" s="6" t="s">
        <v>22</v>
      </c>
      <c r="E72" s="6" t="s">
        <v>27</v>
      </c>
      <c r="F72" s="1">
        <v>42497</v>
      </c>
      <c r="G72">
        <v>740147912</v>
      </c>
      <c r="H72">
        <f t="shared" si="1"/>
        <v>3</v>
      </c>
      <c r="I72" s="7">
        <v>42500</v>
      </c>
      <c r="J72" s="9">
        <v>5070</v>
      </c>
      <c r="K72" s="14">
        <v>81.73</v>
      </c>
      <c r="L72" s="19">
        <v>56.67</v>
      </c>
      <c r="M72" s="14">
        <v>414371.1</v>
      </c>
      <c r="N72" s="14">
        <v>287316.90000000002</v>
      </c>
      <c r="O72" s="14">
        <v>127054.2</v>
      </c>
    </row>
    <row r="73" spans="1:15" x14ac:dyDescent="0.25">
      <c r="A73" s="6" t="s">
        <v>24</v>
      </c>
      <c r="B73" s="6" t="s">
        <v>48</v>
      </c>
      <c r="C73" s="6" t="s">
        <v>44</v>
      </c>
      <c r="D73" s="6" t="s">
        <v>22</v>
      </c>
      <c r="E73" s="6" t="s">
        <v>35</v>
      </c>
      <c r="F73" s="1">
        <v>41022</v>
      </c>
      <c r="G73">
        <v>972292029</v>
      </c>
      <c r="H73">
        <f t="shared" si="1"/>
        <v>41</v>
      </c>
      <c r="I73" s="7">
        <v>41063</v>
      </c>
      <c r="J73" s="9">
        <v>1673</v>
      </c>
      <c r="K73" s="14">
        <v>109.28</v>
      </c>
      <c r="L73" s="19">
        <v>35.840000000000003</v>
      </c>
      <c r="M73" s="14">
        <v>182825.44</v>
      </c>
      <c r="N73" s="14">
        <v>59960.32</v>
      </c>
      <c r="O73" s="14">
        <v>122865.12</v>
      </c>
    </row>
    <row r="74" spans="1:15" x14ac:dyDescent="0.25">
      <c r="A74" s="6" t="s">
        <v>41</v>
      </c>
      <c r="B74" s="6" t="s">
        <v>47</v>
      </c>
      <c r="C74" s="6" t="s">
        <v>39</v>
      </c>
      <c r="D74" s="6" t="s">
        <v>17</v>
      </c>
      <c r="E74" s="6" t="s">
        <v>23</v>
      </c>
      <c r="F74" s="1">
        <v>41689</v>
      </c>
      <c r="G74">
        <v>832401311</v>
      </c>
      <c r="H74">
        <f t="shared" si="1"/>
        <v>4</v>
      </c>
      <c r="I74" s="7">
        <v>41693</v>
      </c>
      <c r="J74" s="9">
        <v>4901</v>
      </c>
      <c r="K74" s="14">
        <v>81.73</v>
      </c>
      <c r="L74" s="19">
        <v>56.67</v>
      </c>
      <c r="M74" s="14">
        <v>400558.73</v>
      </c>
      <c r="N74" s="14">
        <v>277739.67</v>
      </c>
      <c r="O74" s="14">
        <v>122819.06</v>
      </c>
    </row>
    <row r="75" spans="1:15" x14ac:dyDescent="0.25">
      <c r="A75" s="6" t="s">
        <v>19</v>
      </c>
      <c r="B75" s="6" t="s">
        <v>46</v>
      </c>
      <c r="C75" s="6" t="s">
        <v>58</v>
      </c>
      <c r="D75" s="6" t="s">
        <v>22</v>
      </c>
      <c r="E75" s="6" t="s">
        <v>27</v>
      </c>
      <c r="F75" s="1">
        <v>42551</v>
      </c>
      <c r="G75">
        <v>795490682</v>
      </c>
      <c r="H75">
        <f t="shared" si="1"/>
        <v>26</v>
      </c>
      <c r="I75" s="7">
        <v>42577</v>
      </c>
      <c r="J75" s="9">
        <v>2225</v>
      </c>
      <c r="K75" s="14">
        <v>152.58000000000001</v>
      </c>
      <c r="L75" s="19">
        <v>97.44</v>
      </c>
      <c r="M75" s="14">
        <v>339490.5</v>
      </c>
      <c r="N75" s="14">
        <v>216804</v>
      </c>
      <c r="O75" s="14">
        <v>122686.5</v>
      </c>
    </row>
    <row r="76" spans="1:15" x14ac:dyDescent="0.25">
      <c r="A76" s="6" t="s">
        <v>24</v>
      </c>
      <c r="B76" s="6" t="s">
        <v>57</v>
      </c>
      <c r="C76" s="6" t="s">
        <v>16</v>
      </c>
      <c r="D76" s="6" t="s">
        <v>22</v>
      </c>
      <c r="E76" s="6" t="s">
        <v>18</v>
      </c>
      <c r="F76" s="1">
        <v>42216</v>
      </c>
      <c r="G76">
        <v>860673511</v>
      </c>
      <c r="H76">
        <f t="shared" si="1"/>
        <v>34</v>
      </c>
      <c r="I76" s="7">
        <v>42250</v>
      </c>
      <c r="J76" s="9">
        <v>1273</v>
      </c>
      <c r="K76" s="14">
        <v>255.28</v>
      </c>
      <c r="L76" s="19">
        <v>159.41999999999999</v>
      </c>
      <c r="M76" s="14">
        <v>324971.44</v>
      </c>
      <c r="N76" s="14">
        <v>202941.66</v>
      </c>
      <c r="O76" s="14">
        <v>122029.78</v>
      </c>
    </row>
    <row r="77" spans="1:15" x14ac:dyDescent="0.25">
      <c r="A77" s="6" t="s">
        <v>28</v>
      </c>
      <c r="B77" s="6" t="s">
        <v>84</v>
      </c>
      <c r="C77" s="6" t="s">
        <v>26</v>
      </c>
      <c r="D77" s="6" t="s">
        <v>17</v>
      </c>
      <c r="E77" s="6" t="s">
        <v>18</v>
      </c>
      <c r="F77" s="1">
        <v>42710</v>
      </c>
      <c r="G77">
        <v>621386563</v>
      </c>
      <c r="H77">
        <f t="shared" si="1"/>
        <v>8</v>
      </c>
      <c r="I77" s="7">
        <v>42718</v>
      </c>
      <c r="J77" s="9">
        <v>948</v>
      </c>
      <c r="K77" s="14">
        <v>651.21</v>
      </c>
      <c r="L77" s="19">
        <v>524.96</v>
      </c>
      <c r="M77" s="14">
        <v>617347.07999999996</v>
      </c>
      <c r="N77" s="14">
        <v>497662.08</v>
      </c>
      <c r="O77" s="14">
        <v>119685</v>
      </c>
    </row>
    <row r="78" spans="1:15" x14ac:dyDescent="0.25">
      <c r="A78" s="6" t="s">
        <v>28</v>
      </c>
      <c r="B78" s="6" t="s">
        <v>84</v>
      </c>
      <c r="C78" s="6" t="s">
        <v>37</v>
      </c>
      <c r="D78" s="6" t="s">
        <v>17</v>
      </c>
      <c r="E78" s="6" t="s">
        <v>23</v>
      </c>
      <c r="F78" s="1">
        <v>42522</v>
      </c>
      <c r="G78">
        <v>728815257</v>
      </c>
      <c r="H78">
        <f t="shared" si="1"/>
        <v>28</v>
      </c>
      <c r="I78" s="7">
        <v>42550</v>
      </c>
      <c r="J78" s="9">
        <v>1485</v>
      </c>
      <c r="K78" s="14">
        <v>154.06</v>
      </c>
      <c r="L78" s="19">
        <v>90.93</v>
      </c>
      <c r="M78" s="14">
        <v>228779.1</v>
      </c>
      <c r="N78" s="14">
        <v>135031.04999999999</v>
      </c>
      <c r="O78" s="14">
        <v>93748.05</v>
      </c>
    </row>
    <row r="79" spans="1:15" x14ac:dyDescent="0.25">
      <c r="A79" s="6" t="s">
        <v>28</v>
      </c>
      <c r="B79" s="6" t="s">
        <v>96</v>
      </c>
      <c r="C79" s="6" t="s">
        <v>52</v>
      </c>
      <c r="D79" s="6" t="s">
        <v>22</v>
      </c>
      <c r="E79" s="6" t="s">
        <v>23</v>
      </c>
      <c r="F79" s="1">
        <v>40689</v>
      </c>
      <c r="G79">
        <v>585920464</v>
      </c>
      <c r="H79">
        <f t="shared" si="1"/>
        <v>50</v>
      </c>
      <c r="I79" s="7">
        <v>40739</v>
      </c>
      <c r="J79" s="9">
        <v>5741</v>
      </c>
      <c r="K79" s="14">
        <v>47.45</v>
      </c>
      <c r="L79" s="19">
        <v>31.79</v>
      </c>
      <c r="M79" s="14">
        <v>272410.45</v>
      </c>
      <c r="N79" s="14">
        <v>182506.39</v>
      </c>
      <c r="O79" s="14">
        <v>89904.06</v>
      </c>
    </row>
    <row r="80" spans="1:15" x14ac:dyDescent="0.25">
      <c r="A80" s="6" t="s">
        <v>28</v>
      </c>
      <c r="B80" s="6" t="s">
        <v>77</v>
      </c>
      <c r="C80" s="6" t="s">
        <v>21</v>
      </c>
      <c r="D80" s="6" t="s">
        <v>17</v>
      </c>
      <c r="E80" s="6" t="s">
        <v>18</v>
      </c>
      <c r="F80" s="1">
        <v>42458</v>
      </c>
      <c r="G80">
        <v>902102267</v>
      </c>
      <c r="H80">
        <f t="shared" si="1"/>
        <v>31</v>
      </c>
      <c r="I80" s="7">
        <v>42489</v>
      </c>
      <c r="J80" s="9">
        <v>962</v>
      </c>
      <c r="K80" s="14">
        <v>205.7</v>
      </c>
      <c r="L80" s="19">
        <v>117.11</v>
      </c>
      <c r="M80" s="14">
        <v>197883.4</v>
      </c>
      <c r="N80" s="14">
        <v>112659.82</v>
      </c>
      <c r="O80" s="14">
        <v>85223.58</v>
      </c>
    </row>
    <row r="81" spans="1:15" x14ac:dyDescent="0.25">
      <c r="A81" s="6" t="s">
        <v>28</v>
      </c>
      <c r="B81" s="6" t="s">
        <v>51</v>
      </c>
      <c r="C81" s="6" t="s">
        <v>52</v>
      </c>
      <c r="D81" s="6" t="s">
        <v>17</v>
      </c>
      <c r="E81" s="6" t="s">
        <v>23</v>
      </c>
      <c r="F81" s="1">
        <v>42095</v>
      </c>
      <c r="G81">
        <v>519820964</v>
      </c>
      <c r="H81">
        <f t="shared" si="1"/>
        <v>17</v>
      </c>
      <c r="I81" s="7">
        <v>42112</v>
      </c>
      <c r="J81" s="9">
        <v>5430</v>
      </c>
      <c r="K81" s="14">
        <v>47.45</v>
      </c>
      <c r="L81" s="19">
        <v>31.79</v>
      </c>
      <c r="M81" s="14">
        <v>257653.5</v>
      </c>
      <c r="N81" s="14">
        <v>172619.7</v>
      </c>
      <c r="O81" s="14">
        <v>85033.8</v>
      </c>
    </row>
    <row r="82" spans="1:15" x14ac:dyDescent="0.25">
      <c r="A82" s="6" t="s">
        <v>24</v>
      </c>
      <c r="B82" s="6" t="s">
        <v>56</v>
      </c>
      <c r="C82" s="6" t="s">
        <v>52</v>
      </c>
      <c r="D82" s="6" t="s">
        <v>17</v>
      </c>
      <c r="E82" s="6" t="s">
        <v>23</v>
      </c>
      <c r="F82" s="1">
        <v>41838</v>
      </c>
      <c r="G82">
        <v>435608613</v>
      </c>
      <c r="H82">
        <f t="shared" si="1"/>
        <v>12</v>
      </c>
      <c r="I82" s="7">
        <v>41850</v>
      </c>
      <c r="J82" s="9">
        <v>5124</v>
      </c>
      <c r="K82" s="14">
        <v>47.45</v>
      </c>
      <c r="L82" s="19">
        <v>31.79</v>
      </c>
      <c r="M82" s="14">
        <v>243133.8</v>
      </c>
      <c r="N82" s="14">
        <v>162891.96</v>
      </c>
      <c r="O82" s="14">
        <v>80241.84</v>
      </c>
    </row>
    <row r="83" spans="1:15" x14ac:dyDescent="0.25">
      <c r="A83" s="6" t="s">
        <v>28</v>
      </c>
      <c r="B83" s="6" t="s">
        <v>74</v>
      </c>
      <c r="C83" s="6" t="s">
        <v>39</v>
      </c>
      <c r="D83" s="6" t="s">
        <v>22</v>
      </c>
      <c r="E83" s="6" t="s">
        <v>18</v>
      </c>
      <c r="F83" s="1">
        <v>42805</v>
      </c>
      <c r="G83">
        <v>699285638</v>
      </c>
      <c r="H83">
        <f t="shared" si="1"/>
        <v>17</v>
      </c>
      <c r="I83" s="7">
        <v>42822</v>
      </c>
      <c r="J83" s="9">
        <v>3015</v>
      </c>
      <c r="K83" s="14">
        <v>81.73</v>
      </c>
      <c r="L83" s="19">
        <v>56.67</v>
      </c>
      <c r="M83" s="14">
        <v>246415.95</v>
      </c>
      <c r="N83" s="14">
        <v>170860.05</v>
      </c>
      <c r="O83" s="14">
        <v>75555.899999999994</v>
      </c>
    </row>
    <row r="84" spans="1:15" x14ac:dyDescent="0.25">
      <c r="A84" s="6" t="s">
        <v>24</v>
      </c>
      <c r="B84" s="6" t="s">
        <v>110</v>
      </c>
      <c r="C84" s="6" t="s">
        <v>52</v>
      </c>
      <c r="D84" s="6" t="s">
        <v>17</v>
      </c>
      <c r="E84" s="6" t="s">
        <v>23</v>
      </c>
      <c r="F84" s="1">
        <v>42666</v>
      </c>
      <c r="G84">
        <v>345718562</v>
      </c>
      <c r="H84">
        <f t="shared" si="1"/>
        <v>33</v>
      </c>
      <c r="I84" s="7">
        <v>42699</v>
      </c>
      <c r="J84" s="9">
        <v>4660</v>
      </c>
      <c r="K84" s="14">
        <v>47.45</v>
      </c>
      <c r="L84" s="19">
        <v>31.79</v>
      </c>
      <c r="M84" s="14">
        <v>221117</v>
      </c>
      <c r="N84" s="14">
        <v>148141.4</v>
      </c>
      <c r="O84" s="14">
        <v>72975.600000000006</v>
      </c>
    </row>
    <row r="85" spans="1:15" x14ac:dyDescent="0.25">
      <c r="A85" s="6" t="s">
        <v>28</v>
      </c>
      <c r="B85" s="6" t="s">
        <v>63</v>
      </c>
      <c r="C85" s="6" t="s">
        <v>44</v>
      </c>
      <c r="D85" s="6" t="s">
        <v>22</v>
      </c>
      <c r="E85" s="6" t="s">
        <v>35</v>
      </c>
      <c r="F85" s="1">
        <v>40750</v>
      </c>
      <c r="G85">
        <v>512878119</v>
      </c>
      <c r="H85">
        <f t="shared" si="1"/>
        <v>39</v>
      </c>
      <c r="I85" s="7">
        <v>40789</v>
      </c>
      <c r="J85" s="9">
        <v>888</v>
      </c>
      <c r="K85" s="14">
        <v>109.28</v>
      </c>
      <c r="L85" s="19">
        <v>35.840000000000003</v>
      </c>
      <c r="M85" s="14">
        <v>97040.639999999999</v>
      </c>
      <c r="N85" s="14">
        <v>31825.919999999998</v>
      </c>
      <c r="O85" s="14">
        <v>65214.720000000001</v>
      </c>
    </row>
    <row r="86" spans="1:15" x14ac:dyDescent="0.25">
      <c r="A86" s="6" t="s">
        <v>14</v>
      </c>
      <c r="B86" s="6" t="s">
        <v>67</v>
      </c>
      <c r="C86" s="6" t="s">
        <v>21</v>
      </c>
      <c r="D86" s="6" t="s">
        <v>17</v>
      </c>
      <c r="E86" s="6" t="s">
        <v>18</v>
      </c>
      <c r="F86" s="1">
        <v>41434</v>
      </c>
      <c r="G86">
        <v>450563752</v>
      </c>
      <c r="H86">
        <f t="shared" si="1"/>
        <v>23</v>
      </c>
      <c r="I86" s="7">
        <v>41457</v>
      </c>
      <c r="J86" s="9">
        <v>682</v>
      </c>
      <c r="K86" s="14">
        <v>205.7</v>
      </c>
      <c r="L86" s="19">
        <v>117.11</v>
      </c>
      <c r="M86" s="14">
        <v>140287.4</v>
      </c>
      <c r="N86" s="14">
        <v>79869.02</v>
      </c>
      <c r="O86" s="14">
        <v>60418.38</v>
      </c>
    </row>
    <row r="87" spans="1:15" x14ac:dyDescent="0.25">
      <c r="A87" s="6" t="s">
        <v>28</v>
      </c>
      <c r="B87" s="6" t="s">
        <v>66</v>
      </c>
      <c r="C87" s="6" t="s">
        <v>39</v>
      </c>
      <c r="D87" s="6" t="s">
        <v>17</v>
      </c>
      <c r="E87" s="6" t="s">
        <v>23</v>
      </c>
      <c r="F87" s="1">
        <v>41637</v>
      </c>
      <c r="G87">
        <v>406502997</v>
      </c>
      <c r="H87">
        <f t="shared" si="1"/>
        <v>30</v>
      </c>
      <c r="I87" s="7">
        <v>41667</v>
      </c>
      <c r="J87" s="9">
        <v>2125</v>
      </c>
      <c r="K87" s="14">
        <v>81.73</v>
      </c>
      <c r="L87" s="19">
        <v>56.67</v>
      </c>
      <c r="M87" s="14">
        <v>173676.25</v>
      </c>
      <c r="N87" s="14">
        <v>120423.75</v>
      </c>
      <c r="O87" s="14">
        <v>53252.5</v>
      </c>
    </row>
    <row r="88" spans="1:15" x14ac:dyDescent="0.25">
      <c r="A88" s="6" t="s">
        <v>24</v>
      </c>
      <c r="B88" s="6" t="s">
        <v>88</v>
      </c>
      <c r="C88" s="6" t="s">
        <v>34</v>
      </c>
      <c r="D88" s="6" t="s">
        <v>22</v>
      </c>
      <c r="E88" s="6" t="s">
        <v>27</v>
      </c>
      <c r="F88" s="1">
        <v>40913</v>
      </c>
      <c r="G88">
        <v>955357205</v>
      </c>
      <c r="H88">
        <f t="shared" si="1"/>
        <v>40</v>
      </c>
      <c r="I88" s="7">
        <v>40953</v>
      </c>
      <c r="J88" s="9">
        <v>282</v>
      </c>
      <c r="K88" s="14">
        <v>668.27</v>
      </c>
      <c r="L88" s="19">
        <v>502.54</v>
      </c>
      <c r="M88" s="14">
        <v>188452.14</v>
      </c>
      <c r="N88" s="14">
        <v>141716.28</v>
      </c>
      <c r="O88" s="14">
        <v>46735.86</v>
      </c>
    </row>
    <row r="89" spans="1:15" x14ac:dyDescent="0.25">
      <c r="A89" s="6" t="s">
        <v>28</v>
      </c>
      <c r="B89" s="6" t="s">
        <v>82</v>
      </c>
      <c r="C89" s="6" t="s">
        <v>30</v>
      </c>
      <c r="D89" s="6" t="s">
        <v>22</v>
      </c>
      <c r="E89" s="6" t="s">
        <v>27</v>
      </c>
      <c r="F89" s="1">
        <v>41504</v>
      </c>
      <c r="G89">
        <v>918419539</v>
      </c>
      <c r="H89">
        <f t="shared" si="1"/>
        <v>31</v>
      </c>
      <c r="I89" s="7">
        <v>41535</v>
      </c>
      <c r="J89" s="9">
        <v>9606</v>
      </c>
      <c r="K89" s="14">
        <v>9.33</v>
      </c>
      <c r="L89" s="19">
        <v>6.92</v>
      </c>
      <c r="M89" s="14">
        <v>89623.98</v>
      </c>
      <c r="N89" s="14">
        <v>66473.52</v>
      </c>
      <c r="O89" s="14">
        <v>23150.46</v>
      </c>
    </row>
    <row r="90" spans="1:15" x14ac:dyDescent="0.25">
      <c r="A90" s="6" t="s">
        <v>28</v>
      </c>
      <c r="B90" s="6" t="s">
        <v>29</v>
      </c>
      <c r="C90" s="6" t="s">
        <v>30</v>
      </c>
      <c r="D90" s="6" t="s">
        <v>22</v>
      </c>
      <c r="E90" s="6" t="s">
        <v>23</v>
      </c>
      <c r="F90" s="1">
        <v>41810</v>
      </c>
      <c r="G90">
        <v>514321792</v>
      </c>
      <c r="H90">
        <f t="shared" si="1"/>
        <v>15</v>
      </c>
      <c r="I90" s="7">
        <v>41825</v>
      </c>
      <c r="J90" s="9">
        <v>8102</v>
      </c>
      <c r="K90" s="14">
        <v>9.33</v>
      </c>
      <c r="L90" s="19">
        <v>6.92</v>
      </c>
      <c r="M90" s="14">
        <v>75591.66</v>
      </c>
      <c r="N90" s="14">
        <v>56065.84</v>
      </c>
      <c r="O90" s="14">
        <v>19525.82</v>
      </c>
    </row>
    <row r="91" spans="1:15" x14ac:dyDescent="0.25">
      <c r="A91" s="6" t="s">
        <v>28</v>
      </c>
      <c r="B91" s="6" t="s">
        <v>29</v>
      </c>
      <c r="C91" s="6" t="s">
        <v>30</v>
      </c>
      <c r="D91" s="6" t="s">
        <v>17</v>
      </c>
      <c r="E91" s="6" t="s">
        <v>18</v>
      </c>
      <c r="F91" s="1">
        <v>41534</v>
      </c>
      <c r="G91">
        <v>508980977</v>
      </c>
      <c r="H91">
        <f t="shared" si="1"/>
        <v>37</v>
      </c>
      <c r="I91" s="7">
        <v>41571</v>
      </c>
      <c r="J91" s="9">
        <v>7637</v>
      </c>
      <c r="K91" s="14">
        <v>9.33</v>
      </c>
      <c r="L91" s="19">
        <v>6.92</v>
      </c>
      <c r="M91" s="14">
        <v>71253.210000000006</v>
      </c>
      <c r="N91" s="14">
        <v>52848.04</v>
      </c>
      <c r="O91" s="14">
        <v>18405.169999999998</v>
      </c>
    </row>
    <row r="92" spans="1:15" x14ac:dyDescent="0.25">
      <c r="A92" s="6" t="s">
        <v>41</v>
      </c>
      <c r="B92" s="6" t="s">
        <v>113</v>
      </c>
      <c r="C92" s="6" t="s">
        <v>30</v>
      </c>
      <c r="D92" s="6" t="s">
        <v>17</v>
      </c>
      <c r="E92" s="6" t="s">
        <v>27</v>
      </c>
      <c r="F92" s="1">
        <v>40858</v>
      </c>
      <c r="G92">
        <v>810711038</v>
      </c>
      <c r="H92">
        <f t="shared" si="1"/>
        <v>47</v>
      </c>
      <c r="I92" s="7">
        <v>40905</v>
      </c>
      <c r="J92" s="9">
        <v>6267</v>
      </c>
      <c r="K92" s="14">
        <v>9.33</v>
      </c>
      <c r="L92" s="19">
        <v>6.92</v>
      </c>
      <c r="M92" s="14">
        <v>58471.11</v>
      </c>
      <c r="N92" s="14">
        <v>43367.64</v>
      </c>
      <c r="O92" s="14">
        <v>15103.47</v>
      </c>
    </row>
    <row r="93" spans="1:15" x14ac:dyDescent="0.25">
      <c r="A93" s="6" t="s">
        <v>28</v>
      </c>
      <c r="B93" s="6" t="s">
        <v>63</v>
      </c>
      <c r="C93" s="6" t="s">
        <v>30</v>
      </c>
      <c r="D93" s="6" t="s">
        <v>22</v>
      </c>
      <c r="E93" s="6" t="s">
        <v>27</v>
      </c>
      <c r="F93" s="1">
        <v>40305</v>
      </c>
      <c r="G93">
        <v>686048400</v>
      </c>
      <c r="H93">
        <f t="shared" si="1"/>
        <v>3</v>
      </c>
      <c r="I93" s="7">
        <v>40308</v>
      </c>
      <c r="J93" s="9">
        <v>5822</v>
      </c>
      <c r="K93" s="14">
        <v>9.33</v>
      </c>
      <c r="L93" s="19">
        <v>6.92</v>
      </c>
      <c r="M93" s="14">
        <v>54319.26</v>
      </c>
      <c r="N93" s="14">
        <v>40288.239999999998</v>
      </c>
      <c r="O93" s="14">
        <v>14031.02</v>
      </c>
    </row>
    <row r="94" spans="1:15" x14ac:dyDescent="0.25">
      <c r="A94" s="6" t="s">
        <v>14</v>
      </c>
      <c r="B94" s="6" t="s">
        <v>62</v>
      </c>
      <c r="C94" s="6" t="s">
        <v>30</v>
      </c>
      <c r="D94" s="6" t="s">
        <v>22</v>
      </c>
      <c r="E94" s="6" t="s">
        <v>35</v>
      </c>
      <c r="F94" s="1">
        <v>41925</v>
      </c>
      <c r="G94">
        <v>347140347</v>
      </c>
      <c r="H94">
        <f t="shared" si="1"/>
        <v>28</v>
      </c>
      <c r="I94" s="7">
        <v>41953</v>
      </c>
      <c r="J94" s="9">
        <v>5398</v>
      </c>
      <c r="K94" s="14">
        <v>9.33</v>
      </c>
      <c r="L94" s="19">
        <v>6.92</v>
      </c>
      <c r="M94" s="14">
        <v>50363.34</v>
      </c>
      <c r="N94" s="14">
        <v>37354.160000000003</v>
      </c>
      <c r="O94" s="14">
        <v>13009.18</v>
      </c>
    </row>
    <row r="95" spans="1:15" x14ac:dyDescent="0.25">
      <c r="A95" s="6" t="s">
        <v>24</v>
      </c>
      <c r="B95" s="6" t="s">
        <v>76</v>
      </c>
      <c r="C95" s="6" t="s">
        <v>37</v>
      </c>
      <c r="D95" s="6" t="s">
        <v>22</v>
      </c>
      <c r="E95" s="6" t="s">
        <v>18</v>
      </c>
      <c r="F95" s="1">
        <v>41188</v>
      </c>
      <c r="G95">
        <v>759224212</v>
      </c>
      <c r="H95">
        <f t="shared" si="1"/>
        <v>5</v>
      </c>
      <c r="I95" s="7">
        <v>41193</v>
      </c>
      <c r="J95" s="9">
        <v>171</v>
      </c>
      <c r="K95" s="14">
        <v>154.06</v>
      </c>
      <c r="L95" s="19">
        <v>90.93</v>
      </c>
      <c r="M95" s="14">
        <v>26344.26</v>
      </c>
      <c r="N95" s="14">
        <v>15549.03</v>
      </c>
      <c r="O95" s="14">
        <v>10795.23</v>
      </c>
    </row>
    <row r="96" spans="1:15" x14ac:dyDescent="0.25">
      <c r="A96" s="6" t="s">
        <v>71</v>
      </c>
      <c r="B96" s="6" t="s">
        <v>72</v>
      </c>
      <c r="C96" s="6" t="s">
        <v>30</v>
      </c>
      <c r="D96" s="6" t="s">
        <v>22</v>
      </c>
      <c r="E96" s="6" t="s">
        <v>27</v>
      </c>
      <c r="F96" s="1">
        <v>40869</v>
      </c>
      <c r="G96">
        <v>162052476</v>
      </c>
      <c r="H96">
        <f t="shared" si="1"/>
        <v>11</v>
      </c>
      <c r="I96" s="7">
        <v>40880</v>
      </c>
      <c r="J96" s="9">
        <v>3784</v>
      </c>
      <c r="K96" s="14">
        <v>9.33</v>
      </c>
      <c r="L96" s="19">
        <v>6.92</v>
      </c>
      <c r="M96" s="14">
        <v>35304.720000000001</v>
      </c>
      <c r="N96" s="14">
        <v>26185.279999999999</v>
      </c>
      <c r="O96" s="14">
        <v>9119.44</v>
      </c>
    </row>
    <row r="97" spans="1:18" x14ac:dyDescent="0.25">
      <c r="A97" s="6" t="s">
        <v>41</v>
      </c>
      <c r="B97" s="6" t="s">
        <v>42</v>
      </c>
      <c r="C97" s="6" t="s">
        <v>37</v>
      </c>
      <c r="D97" s="6" t="s">
        <v>22</v>
      </c>
      <c r="E97" s="6" t="s">
        <v>18</v>
      </c>
      <c r="F97" s="1">
        <v>40718</v>
      </c>
      <c r="G97">
        <v>814711606</v>
      </c>
      <c r="H97">
        <f t="shared" si="1"/>
        <v>18</v>
      </c>
      <c r="I97" s="7">
        <v>40736</v>
      </c>
      <c r="J97" s="9">
        <v>124</v>
      </c>
      <c r="K97" s="14">
        <v>154.06</v>
      </c>
      <c r="L97" s="19">
        <v>90.93</v>
      </c>
      <c r="M97" s="14">
        <v>19103.439999999999</v>
      </c>
      <c r="N97" s="14">
        <v>11275.32</v>
      </c>
      <c r="O97" s="14">
        <v>7828.12</v>
      </c>
    </row>
    <row r="98" spans="1:18" x14ac:dyDescent="0.25">
      <c r="A98" s="6" t="s">
        <v>24</v>
      </c>
      <c r="B98" s="6" t="s">
        <v>65</v>
      </c>
      <c r="C98" s="6" t="s">
        <v>39</v>
      </c>
      <c r="D98" s="6" t="s">
        <v>22</v>
      </c>
      <c r="E98" s="6" t="s">
        <v>35</v>
      </c>
      <c r="F98" s="1">
        <v>40535</v>
      </c>
      <c r="G98">
        <v>617667090</v>
      </c>
      <c r="H98">
        <f t="shared" si="1"/>
        <v>39</v>
      </c>
      <c r="I98" s="7">
        <v>40574</v>
      </c>
      <c r="J98" s="9">
        <v>273</v>
      </c>
      <c r="K98" s="14">
        <v>81.73</v>
      </c>
      <c r="L98" s="19">
        <v>56.67</v>
      </c>
      <c r="M98" s="14">
        <v>22312.29</v>
      </c>
      <c r="N98" s="14">
        <v>15470.91</v>
      </c>
      <c r="O98" s="14">
        <v>6841.38</v>
      </c>
    </row>
    <row r="99" spans="1:18" x14ac:dyDescent="0.25">
      <c r="A99" s="6" t="s">
        <v>14</v>
      </c>
      <c r="B99" s="6" t="s">
        <v>59</v>
      </c>
      <c r="C99" s="6" t="s">
        <v>30</v>
      </c>
      <c r="D99" s="6" t="s">
        <v>22</v>
      </c>
      <c r="E99" s="6" t="s">
        <v>18</v>
      </c>
      <c r="F99" s="1">
        <v>41890</v>
      </c>
      <c r="G99">
        <v>142278373</v>
      </c>
      <c r="H99">
        <f t="shared" si="1"/>
        <v>26</v>
      </c>
      <c r="I99" s="7">
        <v>41916</v>
      </c>
      <c r="J99" s="9">
        <v>2187</v>
      </c>
      <c r="K99" s="14">
        <v>9.33</v>
      </c>
      <c r="L99" s="19">
        <v>6.92</v>
      </c>
      <c r="M99" s="14">
        <v>20404.71</v>
      </c>
      <c r="N99" s="14">
        <v>15134.04</v>
      </c>
      <c r="O99" s="14">
        <v>5270.67</v>
      </c>
      <c r="R99" s="9">
        <v>1</v>
      </c>
    </row>
    <row r="100" spans="1:18" x14ac:dyDescent="0.25">
      <c r="A100" s="6" t="s">
        <v>71</v>
      </c>
      <c r="B100" s="6" t="s">
        <v>90</v>
      </c>
      <c r="C100" s="6" t="s">
        <v>30</v>
      </c>
      <c r="D100" s="6" t="s">
        <v>22</v>
      </c>
      <c r="E100" s="6" t="s">
        <v>27</v>
      </c>
      <c r="F100" s="1">
        <v>42230</v>
      </c>
      <c r="G100">
        <v>816200339</v>
      </c>
      <c r="H100">
        <f t="shared" si="1"/>
        <v>47</v>
      </c>
      <c r="I100" s="7">
        <v>42277</v>
      </c>
      <c r="J100" s="9">
        <v>673</v>
      </c>
      <c r="K100" s="14">
        <v>9.33</v>
      </c>
      <c r="L100" s="19">
        <v>6.92</v>
      </c>
      <c r="M100" s="14">
        <v>6279.09</v>
      </c>
      <c r="N100" s="14">
        <v>4657.16</v>
      </c>
      <c r="O100" s="14">
        <v>1621.93</v>
      </c>
    </row>
    <row r="101" spans="1:18" x14ac:dyDescent="0.25">
      <c r="A101" s="6" t="s">
        <v>71</v>
      </c>
      <c r="B101" s="6" t="s">
        <v>109</v>
      </c>
      <c r="C101" s="6" t="s">
        <v>30</v>
      </c>
      <c r="D101" s="6" t="s">
        <v>22</v>
      </c>
      <c r="E101" s="6" t="s">
        <v>35</v>
      </c>
      <c r="F101" s="1">
        <v>41029</v>
      </c>
      <c r="G101">
        <v>513417565</v>
      </c>
      <c r="H101">
        <f t="shared" si="1"/>
        <v>18</v>
      </c>
      <c r="I101" s="7">
        <v>41047</v>
      </c>
      <c r="J101" s="9">
        <v>522</v>
      </c>
      <c r="K101" s="14">
        <v>9.33</v>
      </c>
      <c r="L101" s="19">
        <v>6.92</v>
      </c>
      <c r="M101" s="14">
        <v>4870.26</v>
      </c>
      <c r="N101" s="14">
        <v>3612.24</v>
      </c>
      <c r="O101" s="14">
        <v>1258.02</v>
      </c>
      <c r="R101" s="3"/>
    </row>
  </sheetData>
  <sortState ref="A2:Q101">
    <sortCondition descending="1" ref="O2:O101"/>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79"/>
  <sheetViews>
    <sheetView zoomScale="90" zoomScaleNormal="90" workbookViewId="0">
      <selection activeCell="J11" sqref="J11"/>
    </sheetView>
  </sheetViews>
  <sheetFormatPr defaultRowHeight="15" x14ac:dyDescent="0.25"/>
  <cols>
    <col min="1" max="1" width="32.42578125" customWidth="1"/>
    <col min="2" max="2" width="21.85546875" style="10" customWidth="1"/>
    <col min="3" max="3" width="13.28515625" bestFit="1" customWidth="1"/>
    <col min="4" max="4" width="16.28515625" customWidth="1"/>
    <col min="5" max="5" width="17.7109375" customWidth="1"/>
    <col min="6" max="6" width="20.5703125" bestFit="1" customWidth="1"/>
    <col min="7" max="7" width="14.5703125" customWidth="1"/>
    <col min="8" max="8" width="17.7109375" customWidth="1"/>
    <col min="9" max="9" width="16.7109375" bestFit="1" customWidth="1"/>
    <col min="10" max="10" width="10" customWidth="1"/>
    <col min="11" max="11" width="13" customWidth="1"/>
    <col min="12" max="12" width="16.140625" bestFit="1" customWidth="1"/>
    <col min="13" max="27" width="10" customWidth="1"/>
    <col min="28" max="70" width="10" bestFit="1" customWidth="1"/>
    <col min="71" max="104" width="10" customWidth="1"/>
    <col min="105" max="105" width="11.28515625" bestFit="1" customWidth="1"/>
  </cols>
  <sheetData>
    <row r="3" spans="1:12" x14ac:dyDescent="0.25">
      <c r="A3" s="4" t="s">
        <v>1</v>
      </c>
      <c r="B3" t="s">
        <v>125</v>
      </c>
      <c r="C3" t="s">
        <v>124</v>
      </c>
      <c r="E3" s="4" t="s">
        <v>0</v>
      </c>
      <c r="F3" t="s">
        <v>116</v>
      </c>
      <c r="H3" s="14" t="s">
        <v>116</v>
      </c>
      <c r="K3" s="4" t="s">
        <v>2</v>
      </c>
      <c r="L3" t="s">
        <v>122</v>
      </c>
    </row>
    <row r="4" spans="1:12" x14ac:dyDescent="0.25">
      <c r="A4" s="5" t="s">
        <v>69</v>
      </c>
      <c r="B4" s="14">
        <v>2425317.87</v>
      </c>
      <c r="C4" s="14">
        <v>6052890.8600000003</v>
      </c>
      <c r="E4" s="5" t="s">
        <v>41</v>
      </c>
      <c r="F4" s="14">
        <v>21347091.020000003</v>
      </c>
      <c r="H4" s="14">
        <v>137348768.30999991</v>
      </c>
      <c r="I4" s="17">
        <f>GETPIVOTDATA("Total Revenue",$H$3)</f>
        <v>137348768.30999991</v>
      </c>
      <c r="K4" s="5" t="s">
        <v>52</v>
      </c>
      <c r="L4" s="6">
        <v>50</v>
      </c>
    </row>
    <row r="5" spans="1:12" x14ac:dyDescent="0.25">
      <c r="A5" s="5" t="s">
        <v>68</v>
      </c>
      <c r="B5" s="14">
        <v>1802771.7</v>
      </c>
      <c r="C5" s="14">
        <v>6161257.9000000004</v>
      </c>
      <c r="E5" s="5" t="s">
        <v>14</v>
      </c>
      <c r="F5" s="14">
        <v>14094265.130000003</v>
      </c>
      <c r="I5" s="15"/>
    </row>
    <row r="6" spans="1:12" x14ac:dyDescent="0.25">
      <c r="A6" s="5" t="s">
        <v>97</v>
      </c>
      <c r="B6" s="14">
        <v>1719922.04</v>
      </c>
      <c r="C6" s="14">
        <v>4324782.4000000004</v>
      </c>
      <c r="E6" s="5" t="s">
        <v>19</v>
      </c>
      <c r="F6" s="14">
        <v>9170385.4899999984</v>
      </c>
      <c r="H6" s="14" t="s">
        <v>120</v>
      </c>
      <c r="I6" s="15"/>
    </row>
    <row r="7" spans="1:12" x14ac:dyDescent="0.25">
      <c r="A7" s="5" t="s">
        <v>103</v>
      </c>
      <c r="B7" s="14">
        <v>1678540.98</v>
      </c>
      <c r="C7" s="14">
        <v>4220728.8</v>
      </c>
      <c r="E7" s="5" t="s">
        <v>24</v>
      </c>
      <c r="F7" s="14">
        <v>33368932.110000003</v>
      </c>
      <c r="H7" s="14">
        <v>93180569.909999996</v>
      </c>
      <c r="I7" s="17">
        <f>GETPIVOTDATA("Total Cost",$H$6)</f>
        <v>93180569.909999996</v>
      </c>
    </row>
    <row r="8" spans="1:12" x14ac:dyDescent="0.25">
      <c r="A8" s="5" t="s">
        <v>46</v>
      </c>
      <c r="B8" s="14">
        <v>1609947.52</v>
      </c>
      <c r="C8" s="14">
        <v>6336545.4800000004</v>
      </c>
      <c r="E8" s="5" t="s">
        <v>71</v>
      </c>
      <c r="F8" s="14">
        <v>14052706.58</v>
      </c>
      <c r="I8" s="15"/>
    </row>
    <row r="9" spans="1:12" x14ac:dyDescent="0.25">
      <c r="A9" s="5" t="s">
        <v>78</v>
      </c>
      <c r="B9" s="14">
        <v>1541705.29</v>
      </c>
      <c r="C9" s="14">
        <v>3876652.4</v>
      </c>
      <c r="E9" s="5" t="s">
        <v>98</v>
      </c>
      <c r="F9" s="14">
        <v>5643356.5500000007</v>
      </c>
      <c r="H9" s="14" t="s">
        <v>115</v>
      </c>
      <c r="I9" s="15"/>
    </row>
    <row r="10" spans="1:12" x14ac:dyDescent="0.25">
      <c r="A10" s="5" t="s">
        <v>75</v>
      </c>
      <c r="B10" s="14">
        <v>1512926.83</v>
      </c>
      <c r="C10" s="14">
        <v>4478800.21</v>
      </c>
      <c r="E10" s="5" t="s">
        <v>28</v>
      </c>
      <c r="F10" s="14">
        <v>39672031.429999992</v>
      </c>
      <c r="H10" s="14">
        <v>44168198.400000006</v>
      </c>
      <c r="I10" s="14">
        <f>GETPIVOTDATA("Total Profit",$H$9)</f>
        <v>44168198.400000006</v>
      </c>
    </row>
    <row r="11" spans="1:12" x14ac:dyDescent="0.25">
      <c r="A11" s="5" t="s">
        <v>65</v>
      </c>
      <c r="B11" s="14">
        <v>1512729.45</v>
      </c>
      <c r="C11" s="14">
        <v>3808901.49</v>
      </c>
      <c r="E11" s="5" t="s">
        <v>119</v>
      </c>
      <c r="F11" s="14">
        <v>137348768.31</v>
      </c>
    </row>
    <row r="12" spans="1:12" x14ac:dyDescent="0.25">
      <c r="A12" s="5" t="s">
        <v>99</v>
      </c>
      <c r="B12" s="14">
        <v>1457942.76</v>
      </c>
      <c r="C12" s="14">
        <v>5643356.5500000007</v>
      </c>
      <c r="H12" s="14" t="s">
        <v>117</v>
      </c>
    </row>
    <row r="13" spans="1:12" x14ac:dyDescent="0.25">
      <c r="A13" s="5" t="s">
        <v>31</v>
      </c>
      <c r="B13" s="14">
        <v>1417493.49</v>
      </c>
      <c r="C13" s="14">
        <v>5253769.42</v>
      </c>
      <c r="H13" s="18">
        <v>512871</v>
      </c>
      <c r="I13" s="16">
        <f>GETPIVOTDATA("Units Sold",$H$12)</f>
        <v>512871</v>
      </c>
    </row>
    <row r="14" spans="1:12" x14ac:dyDescent="0.25">
      <c r="B14"/>
    </row>
    <row r="15" spans="1:12" x14ac:dyDescent="0.25">
      <c r="B15"/>
    </row>
    <row r="16" spans="1:12" x14ac:dyDescent="0.25">
      <c r="B16"/>
    </row>
    <row r="17" spans="1:13" x14ac:dyDescent="0.25">
      <c r="A17" s="4" t="s">
        <v>2</v>
      </c>
      <c r="B17" s="18" t="s">
        <v>117</v>
      </c>
      <c r="D17" s="4" t="s">
        <v>3</v>
      </c>
      <c r="E17" t="s">
        <v>123</v>
      </c>
      <c r="G17" s="4" t="s">
        <v>2</v>
      </c>
      <c r="H17" t="s">
        <v>115</v>
      </c>
    </row>
    <row r="18" spans="1:13" x14ac:dyDescent="0.25">
      <c r="A18" s="5" t="s">
        <v>50</v>
      </c>
      <c r="B18" s="18">
        <v>83718</v>
      </c>
      <c r="D18" s="5" t="s">
        <v>17</v>
      </c>
      <c r="E18" s="6">
        <v>50</v>
      </c>
      <c r="G18" s="5" t="s">
        <v>16</v>
      </c>
      <c r="H18" s="14">
        <v>3886643.7</v>
      </c>
    </row>
    <row r="19" spans="1:13" x14ac:dyDescent="0.25">
      <c r="A19" s="5" t="s">
        <v>44</v>
      </c>
      <c r="B19" s="18">
        <v>71260</v>
      </c>
      <c r="D19" s="5" t="s">
        <v>22</v>
      </c>
      <c r="E19" s="6">
        <v>50</v>
      </c>
      <c r="G19" s="5" t="s">
        <v>52</v>
      </c>
      <c r="H19" s="14">
        <v>888047.28</v>
      </c>
      <c r="K19" t="s">
        <v>126</v>
      </c>
    </row>
    <row r="20" spans="1:13" x14ac:dyDescent="0.25">
      <c r="A20" s="5" t="s">
        <v>52</v>
      </c>
      <c r="B20" s="18">
        <v>56708</v>
      </c>
      <c r="G20" s="5" t="s">
        <v>21</v>
      </c>
      <c r="H20" s="14">
        <v>2292443.4299999997</v>
      </c>
      <c r="K20" s="6">
        <v>100</v>
      </c>
      <c r="M20">
        <f>GETPIVOTDATA("Order ID",$K$19)</f>
        <v>100</v>
      </c>
    </row>
    <row r="21" spans="1:13" x14ac:dyDescent="0.25">
      <c r="A21" s="5" t="s">
        <v>30</v>
      </c>
      <c r="B21" s="18">
        <v>49998</v>
      </c>
      <c r="G21" s="5" t="s">
        <v>44</v>
      </c>
      <c r="H21" s="14">
        <v>5233334.4000000004</v>
      </c>
    </row>
    <row r="22" spans="1:13" x14ac:dyDescent="0.25">
      <c r="A22" s="5" t="s">
        <v>39</v>
      </c>
      <c r="B22" s="18">
        <v>48708</v>
      </c>
      <c r="G22" s="5" t="s">
        <v>50</v>
      </c>
      <c r="H22" s="14">
        <v>14556048.660000002</v>
      </c>
    </row>
    <row r="23" spans="1:13" x14ac:dyDescent="0.25">
      <c r="A23" s="5" t="s">
        <v>26</v>
      </c>
      <c r="B23" s="18">
        <v>46967</v>
      </c>
      <c r="D23" s="4" t="s">
        <v>2</v>
      </c>
      <c r="E23" t="s">
        <v>118</v>
      </c>
      <c r="G23" s="5" t="s">
        <v>30</v>
      </c>
      <c r="H23" s="14">
        <v>120495.18</v>
      </c>
    </row>
    <row r="24" spans="1:13" x14ac:dyDescent="0.25">
      <c r="A24" s="5" t="s">
        <v>34</v>
      </c>
      <c r="B24" s="18">
        <v>44727</v>
      </c>
      <c r="D24" s="5" t="s">
        <v>26</v>
      </c>
      <c r="E24" s="14">
        <v>651.21</v>
      </c>
      <c r="G24" s="5" t="s">
        <v>34</v>
      </c>
      <c r="H24" s="14">
        <v>7412605.71</v>
      </c>
    </row>
    <row r="25" spans="1:13" x14ac:dyDescent="0.25">
      <c r="A25" s="5" t="s">
        <v>16</v>
      </c>
      <c r="B25" s="18">
        <v>40545</v>
      </c>
      <c r="G25" s="5" t="s">
        <v>55</v>
      </c>
      <c r="H25" s="14">
        <v>610610</v>
      </c>
    </row>
    <row r="26" spans="1:13" x14ac:dyDescent="0.25">
      <c r="A26" s="5" t="s">
        <v>21</v>
      </c>
      <c r="B26" s="18">
        <v>25877</v>
      </c>
      <c r="G26" s="5" t="s">
        <v>26</v>
      </c>
      <c r="H26" s="14">
        <v>5929583.75</v>
      </c>
    </row>
    <row r="27" spans="1:13" x14ac:dyDescent="0.25">
      <c r="A27" s="5" t="s">
        <v>37</v>
      </c>
      <c r="B27" s="18">
        <v>20051</v>
      </c>
      <c r="G27" s="5" t="s">
        <v>39</v>
      </c>
      <c r="H27" s="14">
        <v>1220622.4799999997</v>
      </c>
    </row>
    <row r="28" spans="1:13" x14ac:dyDescent="0.25">
      <c r="A28" s="5" t="s">
        <v>58</v>
      </c>
      <c r="B28" s="18">
        <v>13637</v>
      </c>
      <c r="D28" s="4" t="s">
        <v>0</v>
      </c>
      <c r="E28" s="14" t="s">
        <v>121</v>
      </c>
      <c r="G28" s="5" t="s">
        <v>58</v>
      </c>
      <c r="H28" s="14">
        <v>751944.18</v>
      </c>
    </row>
    <row r="29" spans="1:13" x14ac:dyDescent="0.25">
      <c r="A29" s="5" t="s">
        <v>55</v>
      </c>
      <c r="B29" s="18">
        <v>10675</v>
      </c>
      <c r="D29" s="5" t="s">
        <v>28</v>
      </c>
      <c r="E29" s="9">
        <v>36</v>
      </c>
      <c r="G29" s="5" t="s">
        <v>37</v>
      </c>
      <c r="H29" s="14">
        <v>1265819.6300000001</v>
      </c>
    </row>
    <row r="30" spans="1:13" x14ac:dyDescent="0.25">
      <c r="B30"/>
    </row>
    <row r="31" spans="1:13" x14ac:dyDescent="0.25">
      <c r="B31"/>
    </row>
    <row r="32" spans="1:13" x14ac:dyDescent="0.25">
      <c r="B32"/>
    </row>
    <row r="33" spans="1:7" x14ac:dyDescent="0.25">
      <c r="A33" s="4" t="s">
        <v>0</v>
      </c>
      <c r="B33" s="14" t="s">
        <v>116</v>
      </c>
      <c r="D33" s="4" t="s">
        <v>2</v>
      </c>
      <c r="E33" s="14" t="s">
        <v>115</v>
      </c>
    </row>
    <row r="34" spans="1:7" x14ac:dyDescent="0.25">
      <c r="A34" s="5" t="s">
        <v>98</v>
      </c>
      <c r="B34" s="14">
        <v>5643356.5500000007</v>
      </c>
      <c r="D34" s="5" t="s">
        <v>16</v>
      </c>
      <c r="E34" s="14">
        <v>3886643.7</v>
      </c>
    </row>
    <row r="35" spans="1:7" x14ac:dyDescent="0.25">
      <c r="A35" s="5" t="s">
        <v>19</v>
      </c>
      <c r="B35" s="14">
        <v>9170385.4899999984</v>
      </c>
    </row>
    <row r="36" spans="1:7" x14ac:dyDescent="0.25">
      <c r="A36" s="5" t="s">
        <v>71</v>
      </c>
      <c r="B36" s="14">
        <v>14052706.58</v>
      </c>
      <c r="G36" s="17"/>
    </row>
    <row r="37" spans="1:7" x14ac:dyDescent="0.25">
      <c r="A37" s="5" t="s">
        <v>14</v>
      </c>
      <c r="B37" s="14">
        <v>14094265.130000003</v>
      </c>
      <c r="E37" s="14"/>
    </row>
    <row r="38" spans="1:7" x14ac:dyDescent="0.25">
      <c r="A38" s="5" t="s">
        <v>41</v>
      </c>
      <c r="B38" s="14">
        <v>21347091.020000003</v>
      </c>
      <c r="D38" s="4" t="s">
        <v>4</v>
      </c>
      <c r="E38" s="14" t="s">
        <v>120</v>
      </c>
    </row>
    <row r="39" spans="1:7" x14ac:dyDescent="0.25">
      <c r="A39" s="5" t="s">
        <v>24</v>
      </c>
      <c r="B39" s="14">
        <v>33368932.110000003</v>
      </c>
      <c r="D39" s="5" t="s">
        <v>18</v>
      </c>
      <c r="E39" s="14">
        <v>31857946.469999999</v>
      </c>
      <c r="G39" s="14">
        <f>GETPIVOTDATA("Total Cost",$D$38,"Order Priority","H")</f>
        <v>31857946.469999999</v>
      </c>
    </row>
    <row r="40" spans="1:7" x14ac:dyDescent="0.25">
      <c r="A40" s="5" t="s">
        <v>28</v>
      </c>
      <c r="B40" s="14">
        <v>39672031.429999992</v>
      </c>
    </row>
    <row r="41" spans="1:7" x14ac:dyDescent="0.25">
      <c r="B41"/>
    </row>
    <row r="42" spans="1:7" x14ac:dyDescent="0.25">
      <c r="B42"/>
    </row>
    <row r="43" spans="1:7" x14ac:dyDescent="0.25">
      <c r="B43"/>
    </row>
    <row r="44" spans="1:7" x14ac:dyDescent="0.25">
      <c r="B44"/>
    </row>
    <row r="45" spans="1:7" x14ac:dyDescent="0.25">
      <c r="B45"/>
    </row>
    <row r="46" spans="1:7" x14ac:dyDescent="0.25">
      <c r="B46"/>
    </row>
    <row r="47" spans="1:7" x14ac:dyDescent="0.25">
      <c r="B47"/>
    </row>
    <row r="48" spans="1:7" x14ac:dyDescent="0.25">
      <c r="B48"/>
    </row>
    <row r="49" spans="2:5" x14ac:dyDescent="0.25">
      <c r="B49"/>
    </row>
    <row r="50" spans="2:5" x14ac:dyDescent="0.25">
      <c r="B50"/>
    </row>
    <row r="51" spans="2:5" x14ac:dyDescent="0.25">
      <c r="B51"/>
    </row>
    <row r="52" spans="2:5" x14ac:dyDescent="0.25">
      <c r="B52"/>
      <c r="E52" s="14"/>
    </row>
    <row r="53" spans="2:5" x14ac:dyDescent="0.25">
      <c r="B53"/>
    </row>
    <row r="54" spans="2:5" x14ac:dyDescent="0.25">
      <c r="B54"/>
    </row>
    <row r="55" spans="2:5" x14ac:dyDescent="0.25">
      <c r="B55"/>
      <c r="E55" s="14"/>
    </row>
    <row r="56" spans="2:5" x14ac:dyDescent="0.25">
      <c r="B56"/>
      <c r="E56" s="14"/>
    </row>
    <row r="57" spans="2:5" x14ac:dyDescent="0.25">
      <c r="B57"/>
    </row>
    <row r="58" spans="2:5" x14ac:dyDescent="0.25">
      <c r="B58"/>
    </row>
    <row r="59" spans="2:5" x14ac:dyDescent="0.25">
      <c r="B59"/>
      <c r="E59" s="14"/>
    </row>
    <row r="60" spans="2:5" x14ac:dyDescent="0.25">
      <c r="B60"/>
    </row>
    <row r="61" spans="2:5" x14ac:dyDescent="0.25">
      <c r="B61"/>
    </row>
    <row r="62" spans="2:5" x14ac:dyDescent="0.25">
      <c r="B62"/>
    </row>
    <row r="63" spans="2:5" x14ac:dyDescent="0.25">
      <c r="B63"/>
    </row>
    <row r="64" spans="2:5" x14ac:dyDescent="0.25">
      <c r="B64"/>
    </row>
    <row r="65" spans="2:2" x14ac:dyDescent="0.25">
      <c r="B65"/>
    </row>
    <row r="66" spans="2:2" x14ac:dyDescent="0.25">
      <c r="B66"/>
    </row>
    <row r="67" spans="2:2" x14ac:dyDescent="0.25">
      <c r="B67"/>
    </row>
    <row r="68" spans="2:2" x14ac:dyDescent="0.25">
      <c r="B68"/>
    </row>
    <row r="69" spans="2:2" x14ac:dyDescent="0.25">
      <c r="B69"/>
    </row>
    <row r="70" spans="2:2" x14ac:dyDescent="0.25">
      <c r="B70"/>
    </row>
    <row r="71" spans="2:2" x14ac:dyDescent="0.25">
      <c r="B71"/>
    </row>
    <row r="72" spans="2:2" x14ac:dyDescent="0.25">
      <c r="B72"/>
    </row>
    <row r="73" spans="2:2" x14ac:dyDescent="0.25">
      <c r="B73"/>
    </row>
    <row r="74" spans="2:2" x14ac:dyDescent="0.25">
      <c r="B74"/>
    </row>
    <row r="75" spans="2:2" x14ac:dyDescent="0.25">
      <c r="B75"/>
    </row>
    <row r="76" spans="2:2" x14ac:dyDescent="0.25">
      <c r="B76"/>
    </row>
    <row r="77" spans="2:2" x14ac:dyDescent="0.25">
      <c r="B77"/>
    </row>
    <row r="78" spans="2:2" x14ac:dyDescent="0.25">
      <c r="B78"/>
    </row>
    <row r="79" spans="2:2" x14ac:dyDescent="0.25">
      <c r="B79"/>
    </row>
  </sheetData>
  <pageMargins left="0.7" right="0.7" top="0.75" bottom="0.75" header="0.3" footer="0.3"/>
  <pageSetup paperSize="9" orientation="portrait"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zoomScale="80" zoomScaleNormal="80" workbookViewId="0">
      <selection activeCell="AG25" sqref="AG25"/>
    </sheetView>
  </sheetViews>
  <sheetFormatPr defaultRowHeight="15" x14ac:dyDescent="0.25"/>
  <cols>
    <col min="1" max="3" width="9.140625" style="12"/>
    <col min="4" max="16384" width="9.140625" style="1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Report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2026-09-29T10:01:26Z</dcterms:created>
  <dcterms:modified xsi:type="dcterms:W3CDTF">2026-10-01T17:58:23Z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3</vt:i4>
  </property>
</Properties>
</file>